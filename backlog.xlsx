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vitoria_psilva_sptech_school/Documents/Horus Monitoring/"/>
    </mc:Choice>
  </mc:AlternateContent>
  <xr:revisionPtr revIDLastSave="294" documentId="8_{E487DA2D-A0C3-42EA-8F5A-813C0FEBE848}" xr6:coauthVersionLast="47" xr6:coauthVersionMax="47" xr10:uidLastSave="{C513E10D-115D-427F-A671-77565CC43C2D}"/>
  <bookViews>
    <workbookView xWindow="-120" yWindow="-120" windowWidth="20730" windowHeight="11040" xr2:uid="{00000000-000D-0000-FFFF-FFFF00000000}"/>
  </bookViews>
  <sheets>
    <sheet name="Planilha2" sheetId="1" r:id="rId1"/>
  </sheets>
  <definedNames>
    <definedName name="_xlnm._FilterDatabase" localSheetId="0" hidden="1">Planilha2!$A$8:$AC$8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F13" i="1"/>
  <c r="AH13" i="1" s="1"/>
  <c r="AG12" i="1"/>
  <c r="AF12" i="1"/>
  <c r="AH12" i="1" s="1"/>
  <c r="AG11" i="1"/>
  <c r="AF11" i="1"/>
  <c r="AH11" i="1" s="1"/>
  <c r="AH10" i="1"/>
  <c r="AG10" i="1"/>
  <c r="AF10" i="1"/>
</calcChain>
</file>

<file path=xl/sharedStrings.xml><?xml version="1.0" encoding="utf-8"?>
<sst xmlns="http://schemas.openxmlformats.org/spreadsheetml/2006/main" count="669" uniqueCount="233">
  <si>
    <t>Backlog - Horus Monitoring</t>
  </si>
  <si>
    <t>Código</t>
  </si>
  <si>
    <t>Requisitos</t>
  </si>
  <si>
    <t>Descrição</t>
  </si>
  <si>
    <t>Tipo</t>
  </si>
  <si>
    <t>Classificação</t>
  </si>
  <si>
    <t>Tamanho</t>
  </si>
  <si>
    <t>Fibonacci</t>
  </si>
  <si>
    <t>Sprint</t>
  </si>
  <si>
    <t>Responsável</t>
  </si>
  <si>
    <t>Realizado</t>
  </si>
  <si>
    <t>Revisado</t>
  </si>
  <si>
    <t>Custo</t>
  </si>
  <si>
    <t>US</t>
  </si>
  <si>
    <t>Lean Ux</t>
  </si>
  <si>
    <t>WireFrame</t>
  </si>
  <si>
    <t>A001</t>
  </si>
  <si>
    <t>Configurar o repositório para a aplicação web</t>
  </si>
  <si>
    <t>Criar e organizar o repositório com a estrutura e versionamento da estrutura web (web-data-viz e bd).</t>
  </si>
  <si>
    <t>NÃO FUNCIONAL</t>
  </si>
  <si>
    <t>ESSENCIAL</t>
  </si>
  <si>
    <t>PP</t>
  </si>
  <si>
    <t>SP1</t>
  </si>
  <si>
    <t xml:space="preserve">MATHEUS V. </t>
  </si>
  <si>
    <t>NA</t>
  </si>
  <si>
    <t>V1</t>
  </si>
  <si>
    <t/>
  </si>
  <si>
    <t>PLANEJADO</t>
  </si>
  <si>
    <t>ENTREGUE</t>
  </si>
  <si>
    <t>PENDENTE</t>
  </si>
  <si>
    <t>A002</t>
  </si>
  <si>
    <t>Configurar o repositório para Java</t>
  </si>
  <si>
    <t>Criar e organizar o repositório com a estrutura e versionamento da estrutura Java.</t>
  </si>
  <si>
    <t>TOTAL</t>
  </si>
  <si>
    <t>A003</t>
  </si>
  <si>
    <t>Configurar o repositório para a Python</t>
  </si>
  <si>
    <t>Criar e organizar o repositório com a estrutura e versionamento da estrutura Python.</t>
  </si>
  <si>
    <t>SPRINT 1</t>
  </si>
  <si>
    <t>A004</t>
  </si>
  <si>
    <t>Configurar o repositório para a documentação</t>
  </si>
  <si>
    <t>Criar e organizar o repositório com a estrutura e versionamento da documentação do projeto.</t>
  </si>
  <si>
    <t>HELOISY</t>
  </si>
  <si>
    <t>SPRINT 2</t>
  </si>
  <si>
    <t>A005</t>
  </si>
  <si>
    <t>Configurar o planner do grupo</t>
  </si>
  <si>
    <t>Configurar e organizador o Planner do grupo, listando o backlog, entregáveis da sprint, etc.</t>
  </si>
  <si>
    <t>SPRINT 3</t>
  </si>
  <si>
    <t>A006</t>
  </si>
  <si>
    <t>Detectar as proto-personas</t>
  </si>
  <si>
    <t>Identificar as proto-personas do sistema.</t>
  </si>
  <si>
    <t>P</t>
  </si>
  <si>
    <t>GABRIEL</t>
  </si>
  <si>
    <t>A007</t>
  </si>
  <si>
    <t>Desenvolver as user storys</t>
  </si>
  <si>
    <t>Desenvolver User Storys para melhor definir os requisitos do sistema.</t>
  </si>
  <si>
    <t>A008</t>
  </si>
  <si>
    <t>Desenvolver a documentação do projeto</t>
  </si>
  <si>
    <t>Desenvolver a documentação do projeto com: Contexto, Objetivo, Justificativa, Escopo, etc.</t>
  </si>
  <si>
    <t>A009</t>
  </si>
  <si>
    <t>Desenvolver a identidade visual da empresa</t>
  </si>
  <si>
    <t>Escolher paleta de cores, fonte, etc.</t>
  </si>
  <si>
    <t xml:space="preserve">M </t>
  </si>
  <si>
    <t>VICTOR</t>
  </si>
  <si>
    <t>A010</t>
  </si>
  <si>
    <t>Definir a logo da empresa</t>
  </si>
  <si>
    <t>Desenvolver a logo da empresa levando em conta a identidade visual.</t>
  </si>
  <si>
    <t xml:space="preserve">P </t>
  </si>
  <si>
    <t>A011</t>
  </si>
  <si>
    <t>Desenvolver o Lean UX Canvas</t>
  </si>
  <si>
    <t>Desenvolver o Lean UX Canvas do projeto para alinhar a equipe.</t>
  </si>
  <si>
    <t>A012</t>
  </si>
  <si>
    <t>Desenvolver o Diagrama de Visão de Negócio</t>
  </si>
  <si>
    <t>Desenvolver o diagrama de visão de negócios para mostrar como vai funcionar a aplicação.</t>
  </si>
  <si>
    <t>IMPORTANTE</t>
  </si>
  <si>
    <t>A013</t>
  </si>
  <si>
    <t>Desenvolver o Diagrama de Solução Técnica/Arquitetura</t>
  </si>
  <si>
    <t>Desenvolver o diagrama técnico para exemplicar de forma técnica o funcionamento do projeto.</t>
  </si>
  <si>
    <t>M</t>
  </si>
  <si>
    <t>SP2</t>
  </si>
  <si>
    <t>MATHEUS R. / JOÃO</t>
  </si>
  <si>
    <t>V2</t>
  </si>
  <si>
    <t>A014</t>
  </si>
  <si>
    <t>Politíca de Permissão de Usuário</t>
  </si>
  <si>
    <t>Desenvolver um documento sobre as permissões dos stakholders do projeto.</t>
  </si>
  <si>
    <t>A015</t>
  </si>
  <si>
    <t>Desenvolver o protótipo da Home</t>
  </si>
  <si>
    <t>Desenvolver o protótipo da page Home, com as abas: Sobre Nós, Sobre o Produto e Fale conosco.</t>
  </si>
  <si>
    <t>A016</t>
  </si>
  <si>
    <t>Desenvolver o protótipo do Cadastro</t>
  </si>
  <si>
    <t>Desenvolver o protótipo da page Cadastro.</t>
  </si>
  <si>
    <t>NATTALIA</t>
  </si>
  <si>
    <t>A017</t>
  </si>
  <si>
    <t>Desenvolver o protótipo do Login</t>
  </si>
  <si>
    <t>Desenvolver o protótipo da page Login.</t>
  </si>
  <si>
    <t>SAMUEL</t>
  </si>
  <si>
    <t>A018</t>
  </si>
  <si>
    <t xml:space="preserve"> Desenvolver o protótipo do Esqueceu a Senha</t>
  </si>
  <si>
    <t>Desenvolver o protótipo da page Esqueceu a senha.</t>
  </si>
  <si>
    <t>DESEJÁVEL</t>
  </si>
  <si>
    <t>A019</t>
  </si>
  <si>
    <t>Desenvolver o protótipo da Dashboard</t>
  </si>
  <si>
    <t>Desenvolver o protótipo da page Dashboard.</t>
  </si>
  <si>
    <t>G</t>
  </si>
  <si>
    <t>VITÓRIA</t>
  </si>
  <si>
    <t>A020</t>
  </si>
  <si>
    <t xml:space="preserve"> Desenvolver o protótipo do Perfil do Usuário </t>
  </si>
  <si>
    <t>Desenvolver o protótipo da page do Perfil do usuário.</t>
  </si>
  <si>
    <t>A021</t>
  </si>
  <si>
    <t xml:space="preserve"> Desenvolver a Modelagem de Dados</t>
  </si>
  <si>
    <t>Desenvolver a Modelagem do Banco de dados da aplicação seguindo a regra de negócio do projeto.</t>
  </si>
  <si>
    <t>FUNCIONAL</t>
  </si>
  <si>
    <t>A022</t>
  </si>
  <si>
    <t>Desenvolver o Script do Banco</t>
  </si>
  <si>
    <t>Transcrever a Modelagem Lógica para um Script no MySQL.</t>
  </si>
  <si>
    <t>A023</t>
  </si>
  <si>
    <t>Codificar a página Home do Website</t>
  </si>
  <si>
    <t>Codificar com HTML, CSS e JS a página Home do Website.</t>
  </si>
  <si>
    <t>A024</t>
  </si>
  <si>
    <t>Codificar a página Cadastro do Website</t>
  </si>
  <si>
    <t>Codificar com HTML, CSS e JS a página Cadastro do Website.</t>
  </si>
  <si>
    <t>A025</t>
  </si>
  <si>
    <t>Codificar a página Login do Website</t>
  </si>
  <si>
    <t>Codificar com HTML, CSS e JS a página Login do Website.</t>
  </si>
  <si>
    <t>A026</t>
  </si>
  <si>
    <t>Codificar a página Esqueceu a Senha do Website</t>
  </si>
  <si>
    <t>Codificar com HTML, CSS e JS a página Esqueceu a Senha do Website.</t>
  </si>
  <si>
    <t>A027</t>
  </si>
  <si>
    <t>Codificar a página Dashboard do Website</t>
  </si>
  <si>
    <t>Codificar com HTML, CSS e JS a página Dashboard do Website.</t>
  </si>
  <si>
    <t>GG</t>
  </si>
  <si>
    <t>GUSTAVO / MATHEUS R. / JOÃO</t>
  </si>
  <si>
    <t>A028</t>
  </si>
  <si>
    <t>Codificar a página Perfil do Usuário do Website</t>
  </si>
  <si>
    <t>Codificar com HTML, CSS e JS a página perfil do usuário do Website.</t>
  </si>
  <si>
    <t>A030</t>
  </si>
  <si>
    <t>Desenvolver Executável.jar</t>
  </si>
  <si>
    <t>Desenvolver o executavel .jar para vizualizar os logs do sistema.</t>
  </si>
  <si>
    <t>A031</t>
  </si>
  <si>
    <t>Código de captura de dados de hardware</t>
  </si>
  <si>
    <t>Desenvolver o script de captura de ram, cpu e disco do sistema.</t>
  </si>
  <si>
    <t>MATHEUS V. / GABRIEL</t>
  </si>
  <si>
    <t>A032</t>
  </si>
  <si>
    <t>Armazenar os dados capturados em um arquivo .CSV</t>
  </si>
  <si>
    <t>Transformar os dados de hardware capturados em um arquivo .CVS.</t>
  </si>
  <si>
    <t>A033</t>
  </si>
  <si>
    <t>Configurar instância provisionada em EC2</t>
  </si>
  <si>
    <t>Configurar máquina virtual na nuvem AWS.</t>
  </si>
  <si>
    <t>A034</t>
  </si>
  <si>
    <t>Colocar o script python na EC2</t>
  </si>
  <si>
    <t>Colocar o script desenvolvido em python na instancia ubunto EC2.</t>
  </si>
  <si>
    <t>A035</t>
  </si>
  <si>
    <t>Permitir que o usuário altere a sua foto de perfil</t>
  </si>
  <si>
    <t>Codificar na página do Perfil do usuário para que ele consiga escolher uma foto de perfil.</t>
  </si>
  <si>
    <t>A037</t>
  </si>
  <si>
    <t>Desenvolver icone de carregamento (Loading Spinner) na transição das páginas</t>
  </si>
  <si>
    <t>Codificar uma tela de carregamento entre as páginas.</t>
  </si>
  <si>
    <t>A039</t>
  </si>
  <si>
    <t>Avião da logo voar pela tela do site</t>
  </si>
  <si>
    <t>Fazer o avião da logo voar pela tela do site.</t>
  </si>
  <si>
    <t>A040</t>
  </si>
  <si>
    <t>Utilizar HTML, CSS e Java Script para a aplicação WEB</t>
  </si>
  <si>
    <t>Desenvolver toda a aplicação WEB utilizando a linguagem JS, HTML e CSS nas páginas Web.</t>
  </si>
  <si>
    <t>A041</t>
  </si>
  <si>
    <t>Configurar o tempo de captura do script python em 5 segundos</t>
  </si>
  <si>
    <t>Configurar a delimitação de tempo em 5 segundos ao script de captura.</t>
  </si>
  <si>
    <t xml:space="preserve">3	
3	
3	
3	
3	
5	
5	
8	
5	
8	
8	
8	
5	
5	
5	
5	
13	
3	
13	
13	
8	
8	
13	
5	
8	
8	
13	
5	
21	
21	
8	
8	
13	
8	
	</t>
  </si>
  <si>
    <t>A042</t>
  </si>
  <si>
    <t>Configurar o tempo de leitura do ETL python em 5 minutos</t>
  </si>
  <si>
    <t>Configurar a delimitação de tempo em 5 minutos para o script de ETL.</t>
  </si>
  <si>
    <t>A045</t>
  </si>
  <si>
    <t>Utilizar da biblioteca PSUTIL para captura de dados do hardware</t>
  </si>
  <si>
    <t>Desenvolver o script de captura de ram, cpu e disco do sistema usando exclusivamente a biblioteca Psutil.</t>
  </si>
  <si>
    <t>A047</t>
  </si>
  <si>
    <t>Pesquisa do tema e compreensão da nossa regra de negócio</t>
  </si>
  <si>
    <t>Buscar compreender o tema para dominar a nossa regra de negócio.</t>
  </si>
  <si>
    <t>TODOS</t>
  </si>
  <si>
    <t>A048</t>
  </si>
  <si>
    <t>Integração entre Slack e Jira</t>
  </si>
  <si>
    <t>Realizar a intregração entre as duas plataformas para que os chamados abertos no Jira gere notificações no Slack.</t>
  </si>
  <si>
    <t>LETÍCIA</t>
  </si>
  <si>
    <t>A049</t>
  </si>
  <si>
    <t>ETL - Versão 1</t>
  </si>
  <si>
    <t>Realizar a primeira versão da ETL para extrair, transformar e carregar o csv criado pelo script de captura.</t>
  </si>
  <si>
    <t>NATHAN</t>
  </si>
  <si>
    <t>A051</t>
  </si>
  <si>
    <t>Codificar a página de Servidores do Website</t>
  </si>
  <si>
    <t>Codificar com HTML, CSS e JS a página de Servidores do Website.</t>
  </si>
  <si>
    <t>JOÃO</t>
  </si>
  <si>
    <t>A052</t>
  </si>
  <si>
    <t>Codificar a página de Visão Geral da Dashboard do Website</t>
  </si>
  <si>
    <t>Codificar com HTML, CSS e JS a página de Visão Geral da Dashboard do Website.</t>
  </si>
  <si>
    <t>MATHEUS R.</t>
  </si>
  <si>
    <t>A053</t>
  </si>
  <si>
    <t>Codificar a página de Incidentes do Website</t>
  </si>
  <si>
    <t>Codificar com HTML, CSS e JS a página de Incidentes do Website.</t>
  </si>
  <si>
    <t>GUSTAVO</t>
  </si>
  <si>
    <t>A055</t>
  </si>
  <si>
    <t>BPMN - Processo Detalhado</t>
  </si>
  <si>
    <t>Fazer o BPMN para representar de forma visual como ocorre o fluxo de informações dentro do sistema.</t>
  </si>
  <si>
    <t>A056</t>
  </si>
  <si>
    <t>DER – Modelo da Dados V2</t>
  </si>
  <si>
    <t>Fazer a segunda versão da modelagem de dados.</t>
  </si>
  <si>
    <t>A057</t>
  </si>
  <si>
    <t xml:space="preserve"> Diagrama de Caso de Uso</t>
  </si>
  <si>
    <t>Representar de forma visual as funcionalidades propostas pelo sistema de acordo com a necessidade de cada parte interessada.</t>
  </si>
  <si>
    <t>A058</t>
  </si>
  <si>
    <t>Docker com Mysql</t>
  </si>
  <si>
    <t>NATHAN / MATHEUS R.</t>
  </si>
  <si>
    <t>A059</t>
  </si>
  <si>
    <t>1x S3 – 3 diretórios</t>
  </si>
  <si>
    <t>Realizar a criação de três diretórios no S3  (raw, trusted, curated).</t>
  </si>
  <si>
    <t>A060</t>
  </si>
  <si>
    <t>Captura de processos</t>
  </si>
  <si>
    <t>Capturar os processos para realização de análises.</t>
  </si>
  <si>
    <t>A061</t>
  </si>
  <si>
    <t>Análise exploratória (Modelos em R)</t>
  </si>
  <si>
    <t>Analisar o csv de escrita para coletar e identificar as métricas que são essenciais para o sistema.</t>
  </si>
  <si>
    <t>LETÍCIA / VITÓRIA</t>
  </si>
  <si>
    <t>A062</t>
  </si>
  <si>
    <t>Realizar a conexão do site com web-data-viz</t>
  </si>
  <si>
    <t>Fazer com que os cadastros e estrutura do Backend / NodeJS estejam funcionando.</t>
  </si>
  <si>
    <t>A063</t>
  </si>
  <si>
    <t>Adicionar frontend e banco de dados na vm</t>
  </si>
  <si>
    <t>Inserir o frontend e o banco de dados na AWS.</t>
  </si>
  <si>
    <t>A064</t>
  </si>
  <si>
    <t>Codificar a página de Cadastro de Servidores/Componentes do Website</t>
  </si>
  <si>
    <t>Codificar com HTML, CSS e JS a página perfil de Cadastro de Servidores/Componentes do Website.</t>
  </si>
  <si>
    <t>A065</t>
  </si>
  <si>
    <t>Codificar a página de Cadastro de Funcionários do Website</t>
  </si>
  <si>
    <t>Codificar com HTML, CSS e JS a página de Cadastro de Funcionários do Website.</t>
  </si>
  <si>
    <t>A066</t>
  </si>
  <si>
    <t>Java V2</t>
  </si>
  <si>
    <t>Realizar a simulação de incidentes nos servidores monitorados.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</si>
</sst>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b/>
      <sz val="24"/>
      <color rgb="FF2F5496"/>
      <name val="Roboto"/>
    </font>
    <font>
      <sz val="11"/>
      <name val="Calibri"/>
    </font>
    <font>
      <sz val="11"/>
      <color theme="0"/>
      <name val="Roboto"/>
    </font>
    <font>
      <b/>
      <sz val="12"/>
      <color theme="0"/>
      <name val="Roboto"/>
    </font>
    <font>
      <sz val="12"/>
      <color theme="0"/>
      <name val="Roboto"/>
    </font>
    <font>
      <b/>
      <sz val="11"/>
      <color rgb="FFFFFFFF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color theme="1"/>
      <name val="Calibri"/>
      <scheme val="minor"/>
    </font>
    <font>
      <sz val="11"/>
      <color rgb="FF850404"/>
      <name val="Roboto"/>
    </font>
    <font>
      <sz val="11"/>
      <color theme="5"/>
      <name val="Roboto"/>
    </font>
    <font>
      <sz val="11"/>
      <color rgb="FF385623"/>
      <name val="Roboto"/>
    </font>
    <font>
      <sz val="11"/>
      <color theme="4" tint="-0.499984740745262"/>
      <name val="Calibri"/>
      <scheme val="minor"/>
    </font>
    <font>
      <sz val="11"/>
      <color theme="0"/>
      <name val="Roboto Bold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rgb="FF000000"/>
      <name val="Calibri"/>
      <scheme val="major"/>
    </font>
    <font>
      <b/>
      <sz val="28"/>
      <color rgb="FF2F5496"/>
      <name val="Roboto"/>
    </font>
    <font>
      <sz val="11"/>
      <color rgb="FF000000"/>
      <name val="Roboto"/>
      <charset val="1"/>
    </font>
    <font>
      <sz val="12"/>
      <color theme="1"/>
      <name val="Calibri"/>
      <scheme val="minor"/>
    </font>
    <font>
      <sz val="12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045894"/>
        <bgColor rgb="FF045894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CA4A4"/>
        <bgColor rgb="FFFCA4A4"/>
      </patternFill>
    </fill>
    <fill>
      <patternFill patternType="solid">
        <fgColor rgb="FFCFE2F3"/>
        <bgColor rgb="FFCFE2F3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04589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00000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8" fillId="4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8" fillId="4" borderId="10" xfId="0" applyFont="1" applyFill="1" applyBorder="1" applyAlignment="1">
      <alignment horizontal="center"/>
    </xf>
    <xf numFmtId="0" fontId="15" fillId="13" borderId="4" xfId="0" quotePrefix="1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17" fillId="1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3" fillId="0" borderId="1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2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1" borderId="4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5" borderId="6" xfId="0" applyFont="1" applyFill="1" applyBorder="1" applyAlignment="1">
      <alignment horizontal="center" wrapText="1"/>
    </xf>
    <xf numFmtId="0" fontId="8" fillId="5" borderId="13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1" borderId="4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4" xfId="0" applyFont="1" applyBorder="1" applyAlignment="1"/>
    <xf numFmtId="0" fontId="0" fillId="0" borderId="4" xfId="0" applyBorder="1" applyAlignment="1"/>
    <xf numFmtId="0" fontId="2" fillId="0" borderId="2" xfId="0" applyFont="1" applyBorder="1" applyAlignment="1"/>
    <xf numFmtId="0" fontId="2" fillId="0" borderId="6" xfId="0" applyFont="1" applyBorder="1" applyAlignment="1"/>
    <xf numFmtId="0" fontId="21" fillId="0" borderId="4" xfId="0" applyFont="1" applyBorder="1" applyAlignment="1"/>
    <xf numFmtId="0" fontId="2" fillId="11" borderId="2" xfId="0" applyFont="1" applyFill="1" applyBorder="1" applyAlignment="1"/>
    <xf numFmtId="0" fontId="2" fillId="11" borderId="6" xfId="0" applyFont="1" applyFill="1" applyBorder="1" applyAlignment="1"/>
    <xf numFmtId="0" fontId="2" fillId="11" borderId="7" xfId="0" applyFont="1" applyFill="1" applyBorder="1" applyAlignment="1"/>
    <xf numFmtId="0" fontId="2" fillId="11" borderId="8" xfId="0" applyFont="1" applyFill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 - Horus Monitoring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Planilha2!$AF$9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prstDash val="solid"/>
              </a:ln>
              <a:effectLst/>
            </c:spPr>
          </c:marker>
          <c:cat>
            <c:strRef>
              <c:f>Planilha2!$AE$10:$AE$13</c:f>
              <c:strCache>
                <c:ptCount val="4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Planilha2!$AF$10:$AF$13</c:f>
              <c:numCache>
                <c:formatCode>General</c:formatCode>
                <c:ptCount val="4"/>
                <c:pt idx="0">
                  <c:v>567</c:v>
                </c:pt>
                <c:pt idx="1">
                  <c:v>240</c:v>
                </c:pt>
                <c:pt idx="2">
                  <c:v>327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3-4419-A022-034BB997BED6}"/>
            </c:ext>
          </c:extLst>
        </c:ser>
        <c:ser>
          <c:idx val="1"/>
          <c:order val="1"/>
          <c:tx>
            <c:strRef>
              <c:f>Planilha2!$AG$9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  <a:prstDash val="solid"/>
              </a:ln>
              <a:effectLst/>
            </c:spPr>
          </c:marker>
          <c:cat>
            <c:strRef>
              <c:f>Planilha2!$AE$10:$AE$13</c:f>
              <c:strCache>
                <c:ptCount val="4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Planilha2!$AG$10:$AG$13</c:f>
              <c:numCache>
                <c:formatCode>General</c:formatCode>
                <c:ptCount val="4"/>
                <c:pt idx="0">
                  <c:v>442</c:v>
                </c:pt>
                <c:pt idx="1">
                  <c:v>240</c:v>
                </c:pt>
                <c:pt idx="2">
                  <c:v>42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3-4419-A022-034BB997B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98184"/>
        <c:axId val="112500232"/>
      </c:lineChart>
      <c:catAx>
        <c:axId val="11249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0232"/>
        <c:crosses val="autoZero"/>
        <c:auto val="1"/>
        <c:lblAlgn val="ctr"/>
        <c:lblOffset val="100"/>
        <c:noMultiLvlLbl val="0"/>
      </c:catAx>
      <c:valAx>
        <c:axId val="11250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123825</xdr:rowOff>
    </xdr:from>
    <xdr:ext cx="1838325" cy="1343025"/>
    <xdr:pic>
      <xdr:nvPicPr>
        <xdr:cNvPr id="4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" y="123825"/>
          <a:ext cx="1838325" cy="1343025"/>
        </a:xfrm>
        <a:prstGeom prst="rect">
          <a:avLst/>
        </a:prstGeom>
        <a:noFill/>
      </xdr:spPr>
    </xdr:pic>
    <xdr:clientData fLocksWithSheet="0"/>
  </xdr:oneCellAnchor>
  <xdr:twoCellAnchor>
    <xdr:from>
      <xdr:col>30</xdr:col>
      <xdr:colOff>0</xdr:colOff>
      <xdr:row>13</xdr:row>
      <xdr:rowOff>180975</xdr:rowOff>
    </xdr:from>
    <xdr:to>
      <xdr:col>34</xdr:col>
      <xdr:colOff>0</xdr:colOff>
      <xdr:row>36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9E6ED9-CAD8-F193-2A9B-FF121E720125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0"/>
  <sheetViews>
    <sheetView tabSelected="1" topLeftCell="P1" workbookViewId="0">
      <selection activeCell="O86" sqref="O86:P87"/>
    </sheetView>
  </sheetViews>
  <sheetFormatPr defaultColWidth="14.42578125" defaultRowHeight="15" customHeight="1"/>
  <cols>
    <col min="1" max="1" width="8.7109375" customWidth="1"/>
    <col min="2" max="2" width="12.28515625" customWidth="1"/>
    <col min="3" max="3" width="8.7109375" customWidth="1"/>
    <col min="4" max="4" width="49.7109375" customWidth="1"/>
    <col min="5" max="6" width="8.7109375" customWidth="1"/>
    <col min="7" max="7" width="72.28515625" customWidth="1"/>
    <col min="8" max="8" width="30" customWidth="1"/>
    <col min="9" max="9" width="8.7109375" customWidth="1"/>
    <col min="10" max="10" width="10.28515625" customWidth="1"/>
    <col min="11" max="20" width="8.7109375" customWidth="1"/>
    <col min="21" max="21" width="25.85546875" customWidth="1"/>
    <col min="22" max="25" width="8.7109375" customWidth="1"/>
    <col min="26" max="26" width="12.42578125" customWidth="1"/>
    <col min="27" max="27" width="22.85546875" customWidth="1"/>
    <col min="32" max="32" width="30.28515625" customWidth="1"/>
    <col min="33" max="33" width="36.5703125" bestFit="1" customWidth="1"/>
    <col min="34" max="34" width="28.7109375" customWidth="1"/>
  </cols>
  <sheetData>
    <row r="1" spans="1:35" ht="15" customHeight="1">
      <c r="A1" s="18"/>
      <c r="B1" s="18"/>
      <c r="C1" s="18"/>
      <c r="D1" s="18"/>
      <c r="E1" s="87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5" ht="15" customHeight="1">
      <c r="A2" s="18"/>
      <c r="B2" s="18"/>
      <c r="C2" s="18"/>
      <c r="D2" s="18"/>
      <c r="E2" s="90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5" ht="15" customHeight="1">
      <c r="A3" s="18"/>
      <c r="B3" s="18"/>
      <c r="C3" s="18"/>
      <c r="D3" s="18"/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2"/>
    </row>
    <row r="4" spans="1:35" ht="15" customHeight="1">
      <c r="A4" s="18"/>
      <c r="B4" s="18"/>
      <c r="C4" s="18"/>
      <c r="D4" s="18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2"/>
    </row>
    <row r="5" spans="1:35" ht="15" customHeight="1">
      <c r="A5" s="18"/>
      <c r="B5" s="18"/>
      <c r="C5" s="18"/>
      <c r="D5" s="18"/>
      <c r="E5" s="90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2"/>
    </row>
    <row r="6" spans="1:35" ht="15" customHeight="1">
      <c r="A6" s="18"/>
      <c r="B6" s="18"/>
      <c r="C6" s="18"/>
      <c r="D6" s="18"/>
      <c r="E6" s="90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2"/>
    </row>
    <row r="7" spans="1:35" ht="15" customHeight="1">
      <c r="A7" s="18"/>
      <c r="B7" s="18"/>
      <c r="C7" s="18"/>
      <c r="D7" s="18"/>
      <c r="E7" s="93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5"/>
    </row>
    <row r="8" spans="1:35" ht="15.75">
      <c r="A8" s="4" t="s">
        <v>1</v>
      </c>
      <c r="B8" s="74" t="s">
        <v>2</v>
      </c>
      <c r="C8" s="98"/>
      <c r="D8" s="99"/>
      <c r="E8" s="69" t="s">
        <v>3</v>
      </c>
      <c r="F8" s="100"/>
      <c r="G8" s="100"/>
      <c r="H8" s="100"/>
      <c r="I8" s="70" t="s">
        <v>4</v>
      </c>
      <c r="J8" s="101"/>
      <c r="K8" s="36" t="s">
        <v>5</v>
      </c>
      <c r="L8" s="100"/>
      <c r="M8" s="100"/>
      <c r="N8" s="36" t="s">
        <v>6</v>
      </c>
      <c r="O8" s="100"/>
      <c r="P8" s="36" t="s">
        <v>7</v>
      </c>
      <c r="Q8" s="100"/>
      <c r="R8" s="37" t="s">
        <v>8</v>
      </c>
      <c r="S8" s="38"/>
      <c r="T8" s="36" t="s">
        <v>9</v>
      </c>
      <c r="U8" s="100"/>
      <c r="V8" s="68" t="s">
        <v>10</v>
      </c>
      <c r="W8" s="100"/>
      <c r="X8" s="68" t="s">
        <v>11</v>
      </c>
      <c r="Y8" s="100"/>
      <c r="Z8" s="9" t="s">
        <v>12</v>
      </c>
      <c r="AA8" s="9" t="s">
        <v>13</v>
      </c>
      <c r="AB8" s="9" t="s">
        <v>14</v>
      </c>
      <c r="AC8" s="9" t="s">
        <v>15</v>
      </c>
    </row>
    <row r="9" spans="1:35" ht="15" customHeight="1">
      <c r="A9" s="2" t="s">
        <v>16</v>
      </c>
      <c r="B9" s="60" t="s">
        <v>17</v>
      </c>
      <c r="C9" s="102"/>
      <c r="D9" s="103"/>
      <c r="E9" s="42" t="s">
        <v>18</v>
      </c>
      <c r="F9" s="100"/>
      <c r="G9" s="100"/>
      <c r="H9" s="100"/>
      <c r="I9" s="72" t="s">
        <v>19</v>
      </c>
      <c r="J9" s="73"/>
      <c r="K9" s="26" t="s">
        <v>20</v>
      </c>
      <c r="L9" s="100"/>
      <c r="M9" s="100"/>
      <c r="N9" s="30" t="s">
        <v>21</v>
      </c>
      <c r="O9" s="100"/>
      <c r="P9" s="30">
        <v>3</v>
      </c>
      <c r="Q9" s="100"/>
      <c r="R9" s="30" t="s">
        <v>22</v>
      </c>
      <c r="S9" s="100"/>
      <c r="T9" s="39" t="s">
        <v>23</v>
      </c>
      <c r="U9" s="100"/>
      <c r="V9" s="61" t="b">
        <v>1</v>
      </c>
      <c r="W9" s="61"/>
      <c r="X9" s="61" t="b">
        <v>1</v>
      </c>
      <c r="Y9" s="61"/>
      <c r="Z9" s="5" t="s">
        <v>24</v>
      </c>
      <c r="AA9" s="5">
        <v>1</v>
      </c>
      <c r="AB9" s="5" t="s">
        <v>25</v>
      </c>
      <c r="AC9" s="5" t="s">
        <v>24</v>
      </c>
      <c r="AE9" s="12" t="s">
        <v>26</v>
      </c>
      <c r="AF9" s="17" t="s">
        <v>27</v>
      </c>
      <c r="AG9" s="13" t="s">
        <v>28</v>
      </c>
      <c r="AH9" s="13" t="s">
        <v>29</v>
      </c>
      <c r="AI9" s="1"/>
    </row>
    <row r="10" spans="1:35" ht="15" customHeight="1">
      <c r="A10" s="3" t="s">
        <v>30</v>
      </c>
      <c r="B10" s="60" t="s">
        <v>31</v>
      </c>
      <c r="C10" s="102"/>
      <c r="D10" s="103"/>
      <c r="E10" s="42" t="s">
        <v>32</v>
      </c>
      <c r="F10" s="100"/>
      <c r="G10" s="100"/>
      <c r="H10" s="100"/>
      <c r="I10" s="50" t="s">
        <v>19</v>
      </c>
      <c r="J10" s="51"/>
      <c r="K10" s="26" t="s">
        <v>20</v>
      </c>
      <c r="L10" s="100"/>
      <c r="M10" s="100"/>
      <c r="N10" s="30" t="s">
        <v>21</v>
      </c>
      <c r="O10" s="100"/>
      <c r="P10" s="30">
        <v>3</v>
      </c>
      <c r="Q10" s="100"/>
      <c r="R10" s="30" t="s">
        <v>22</v>
      </c>
      <c r="S10" s="100"/>
      <c r="T10" s="39" t="s">
        <v>23</v>
      </c>
      <c r="U10" s="100"/>
      <c r="V10" s="61" t="b">
        <v>1</v>
      </c>
      <c r="W10" s="61"/>
      <c r="X10" s="61" t="b">
        <v>1</v>
      </c>
      <c r="Y10" s="61"/>
      <c r="Z10" s="5" t="s">
        <v>24</v>
      </c>
      <c r="AA10" s="5">
        <v>2</v>
      </c>
      <c r="AB10" s="5" t="s">
        <v>25</v>
      </c>
      <c r="AC10" s="5" t="s">
        <v>24</v>
      </c>
      <c r="AE10" s="17" t="s">
        <v>33</v>
      </c>
      <c r="AF10" s="14">
        <f>SUM($P:$P)</f>
        <v>567</v>
      </c>
      <c r="AG10" s="14">
        <f>SUMIF($X:$X,"Verdadeiro",$P:$P)</f>
        <v>442</v>
      </c>
      <c r="AH10" s="14">
        <f>SUMIF($X:$X,"Falso",$P:$P)</f>
        <v>125</v>
      </c>
      <c r="AI10" s="1"/>
    </row>
    <row r="11" spans="1:35" ht="15" customHeight="1">
      <c r="A11" s="3" t="s">
        <v>34</v>
      </c>
      <c r="B11" s="60" t="s">
        <v>35</v>
      </c>
      <c r="C11" s="102"/>
      <c r="D11" s="103"/>
      <c r="E11" s="42" t="s">
        <v>36</v>
      </c>
      <c r="F11" s="100"/>
      <c r="G11" s="100"/>
      <c r="H11" s="100"/>
      <c r="I11" s="50" t="s">
        <v>19</v>
      </c>
      <c r="J11" s="51"/>
      <c r="K11" s="26" t="s">
        <v>20</v>
      </c>
      <c r="L11" s="100"/>
      <c r="M11" s="100"/>
      <c r="N11" s="30" t="s">
        <v>21</v>
      </c>
      <c r="O11" s="100"/>
      <c r="P11" s="30">
        <v>3</v>
      </c>
      <c r="Q11" s="100"/>
      <c r="R11" s="30" t="s">
        <v>22</v>
      </c>
      <c r="S11" s="100"/>
      <c r="T11" s="39" t="s">
        <v>23</v>
      </c>
      <c r="U11" s="100"/>
      <c r="V11" s="61" t="b">
        <v>1</v>
      </c>
      <c r="W11" s="61"/>
      <c r="X11" s="61" t="b">
        <v>1</v>
      </c>
      <c r="Y11" s="61"/>
      <c r="Z11" s="5" t="s">
        <v>24</v>
      </c>
      <c r="AA11" s="5">
        <v>3</v>
      </c>
      <c r="AB11" s="5" t="s">
        <v>25</v>
      </c>
      <c r="AC11" s="5" t="s">
        <v>24</v>
      </c>
      <c r="AE11" s="15" t="s">
        <v>37</v>
      </c>
      <c r="AF11" s="15">
        <f>SUMIF($R:$R,"SP1",$P:$P)</f>
        <v>240</v>
      </c>
      <c r="AG11" s="16">
        <f>SUMIFS(P9:P48, R9:R48, "SP1", X9:X48, "VERDADEIRO")</f>
        <v>240</v>
      </c>
      <c r="AH11" s="15">
        <f>AF11-AG11</f>
        <v>0</v>
      </c>
      <c r="AI11" s="1"/>
    </row>
    <row r="12" spans="1:35" ht="15" customHeight="1">
      <c r="A12" s="3" t="s">
        <v>38</v>
      </c>
      <c r="B12" s="60" t="s">
        <v>39</v>
      </c>
      <c r="C12" s="102"/>
      <c r="D12" s="103"/>
      <c r="E12" s="42" t="s">
        <v>40</v>
      </c>
      <c r="F12" s="100"/>
      <c r="G12" s="100"/>
      <c r="H12" s="100"/>
      <c r="I12" s="50" t="s">
        <v>19</v>
      </c>
      <c r="J12" s="51"/>
      <c r="K12" s="26" t="s">
        <v>20</v>
      </c>
      <c r="L12" s="100"/>
      <c r="M12" s="100"/>
      <c r="N12" s="30" t="s">
        <v>21</v>
      </c>
      <c r="O12" s="100"/>
      <c r="P12" s="30">
        <v>3</v>
      </c>
      <c r="Q12" s="100"/>
      <c r="R12" s="30" t="s">
        <v>22</v>
      </c>
      <c r="S12" s="100"/>
      <c r="T12" s="39" t="s">
        <v>41</v>
      </c>
      <c r="U12" s="100"/>
      <c r="V12" s="61" t="b">
        <v>1</v>
      </c>
      <c r="W12" s="61"/>
      <c r="X12" s="61" t="b">
        <v>1</v>
      </c>
      <c r="Y12" s="61"/>
      <c r="Z12" s="5" t="s">
        <v>24</v>
      </c>
      <c r="AA12" s="5">
        <v>4</v>
      </c>
      <c r="AB12" s="5" t="s">
        <v>25</v>
      </c>
      <c r="AC12" s="5" t="s">
        <v>24</v>
      </c>
      <c r="AE12" s="15" t="s">
        <v>42</v>
      </c>
      <c r="AF12" s="15">
        <f>SUMIF($R:$R,"SP2",$P:$P)</f>
        <v>327</v>
      </c>
      <c r="AG12" s="15">
        <f>SUMIFS(P9:P48, R9:R48, "SP2", X9:X48, "VERDADEIRO")</f>
        <v>42</v>
      </c>
      <c r="AH12" s="15">
        <f>AF12-AG12</f>
        <v>285</v>
      </c>
      <c r="AI12" s="1"/>
    </row>
    <row r="13" spans="1:35" ht="15" customHeight="1">
      <c r="A13" s="3" t="s">
        <v>43</v>
      </c>
      <c r="B13" s="60" t="s">
        <v>44</v>
      </c>
      <c r="C13" s="102"/>
      <c r="D13" s="103"/>
      <c r="E13" s="42" t="s">
        <v>45</v>
      </c>
      <c r="F13" s="100"/>
      <c r="G13" s="100"/>
      <c r="H13" s="100"/>
      <c r="I13" s="50" t="s">
        <v>19</v>
      </c>
      <c r="J13" s="51"/>
      <c r="K13" s="26" t="s">
        <v>20</v>
      </c>
      <c r="L13" s="100"/>
      <c r="M13" s="100"/>
      <c r="N13" s="30" t="s">
        <v>21</v>
      </c>
      <c r="O13" s="100"/>
      <c r="P13" s="30">
        <v>3</v>
      </c>
      <c r="Q13" s="100"/>
      <c r="R13" s="30" t="s">
        <v>22</v>
      </c>
      <c r="S13" s="100"/>
      <c r="T13" s="39" t="s">
        <v>41</v>
      </c>
      <c r="U13" s="100"/>
      <c r="V13" s="61" t="b">
        <v>1</v>
      </c>
      <c r="W13" s="61"/>
      <c r="X13" s="61" t="b">
        <v>1</v>
      </c>
      <c r="Y13" s="61"/>
      <c r="Z13" s="5" t="s">
        <v>24</v>
      </c>
      <c r="AA13" s="5">
        <v>2</v>
      </c>
      <c r="AB13" s="5" t="s">
        <v>25</v>
      </c>
      <c r="AC13" s="5" t="s">
        <v>24</v>
      </c>
      <c r="AE13" s="15" t="s">
        <v>46</v>
      </c>
      <c r="AF13" s="15">
        <f>SUMIF($R:$R,"SP3",$P:$P)</f>
        <v>0</v>
      </c>
      <c r="AG13" s="15">
        <f>SUMIFS(P9:P48, R9:R48, "SP3", X9:X48, "VERDADEIRO")</f>
        <v>0</v>
      </c>
      <c r="AH13" s="15">
        <f>AF13-AG13</f>
        <v>0</v>
      </c>
      <c r="AI13" s="1"/>
    </row>
    <row r="14" spans="1:35" ht="15" customHeight="1">
      <c r="A14" s="3" t="s">
        <v>47</v>
      </c>
      <c r="B14" s="60" t="s">
        <v>48</v>
      </c>
      <c r="C14" s="102"/>
      <c r="D14" s="103"/>
      <c r="E14" s="42" t="s">
        <v>49</v>
      </c>
      <c r="F14" s="100"/>
      <c r="G14" s="100"/>
      <c r="H14" s="100"/>
      <c r="I14" s="25" t="s">
        <v>24</v>
      </c>
      <c r="J14" s="100"/>
      <c r="K14" s="26" t="s">
        <v>20</v>
      </c>
      <c r="L14" s="100"/>
      <c r="M14" s="100"/>
      <c r="N14" s="30" t="s">
        <v>50</v>
      </c>
      <c r="O14" s="100"/>
      <c r="P14" s="30">
        <v>5</v>
      </c>
      <c r="Q14" s="100"/>
      <c r="R14" s="30" t="s">
        <v>22</v>
      </c>
      <c r="S14" s="100"/>
      <c r="T14" s="39" t="s">
        <v>51</v>
      </c>
      <c r="U14" s="100"/>
      <c r="V14" s="61" t="b">
        <v>1</v>
      </c>
      <c r="W14" s="61"/>
      <c r="X14" s="61" t="b">
        <v>1</v>
      </c>
      <c r="Y14" s="61"/>
      <c r="Z14" s="5" t="s">
        <v>24</v>
      </c>
      <c r="AA14" s="5" t="s">
        <v>24</v>
      </c>
      <c r="AB14" s="5" t="s">
        <v>25</v>
      </c>
      <c r="AC14" s="5" t="s">
        <v>24</v>
      </c>
    </row>
    <row r="15" spans="1:35" ht="15" customHeight="1">
      <c r="A15" s="3" t="s">
        <v>52</v>
      </c>
      <c r="B15" s="60" t="s">
        <v>53</v>
      </c>
      <c r="C15" s="102"/>
      <c r="D15" s="103"/>
      <c r="E15" s="42" t="s">
        <v>54</v>
      </c>
      <c r="F15" s="100"/>
      <c r="G15" s="100"/>
      <c r="H15" s="100"/>
      <c r="I15" s="34" t="s">
        <v>24</v>
      </c>
      <c r="J15" s="100"/>
      <c r="K15" s="26" t="s">
        <v>20</v>
      </c>
      <c r="L15" s="100"/>
      <c r="M15" s="100"/>
      <c r="N15" s="30" t="s">
        <v>50</v>
      </c>
      <c r="O15" s="100"/>
      <c r="P15" s="30">
        <v>5</v>
      </c>
      <c r="Q15" s="100"/>
      <c r="R15" s="30" t="s">
        <v>22</v>
      </c>
      <c r="S15" s="100"/>
      <c r="T15" s="39" t="s">
        <v>51</v>
      </c>
      <c r="U15" s="100"/>
      <c r="V15" s="61" t="b">
        <v>1</v>
      </c>
      <c r="W15" s="61"/>
      <c r="X15" s="61" t="b">
        <v>1</v>
      </c>
      <c r="Y15" s="61"/>
      <c r="Z15" s="5" t="s">
        <v>24</v>
      </c>
      <c r="AA15" s="5" t="s">
        <v>24</v>
      </c>
      <c r="AB15" s="5" t="s">
        <v>25</v>
      </c>
      <c r="AC15" s="5" t="s">
        <v>24</v>
      </c>
    </row>
    <row r="16" spans="1:35" ht="15" customHeight="1">
      <c r="A16" s="3" t="s">
        <v>55</v>
      </c>
      <c r="B16" s="60" t="s">
        <v>56</v>
      </c>
      <c r="C16" s="102"/>
      <c r="D16" s="103"/>
      <c r="E16" s="42" t="s">
        <v>57</v>
      </c>
      <c r="F16" s="100"/>
      <c r="G16" s="100"/>
      <c r="H16" s="100"/>
      <c r="I16" s="34" t="s">
        <v>24</v>
      </c>
      <c r="J16" s="100"/>
      <c r="K16" s="26" t="s">
        <v>20</v>
      </c>
      <c r="L16" s="100"/>
      <c r="M16" s="100"/>
      <c r="N16" s="30" t="s">
        <v>50</v>
      </c>
      <c r="O16" s="100"/>
      <c r="P16" s="30">
        <v>5</v>
      </c>
      <c r="Q16" s="100"/>
      <c r="R16" s="30" t="s">
        <v>22</v>
      </c>
      <c r="S16" s="100"/>
      <c r="T16" s="39" t="s">
        <v>41</v>
      </c>
      <c r="U16" s="100"/>
      <c r="V16" s="61" t="b">
        <v>1</v>
      </c>
      <c r="W16" s="61"/>
      <c r="X16" s="61" t="b">
        <v>1</v>
      </c>
      <c r="Y16" s="61"/>
      <c r="Z16" s="5" t="s">
        <v>24</v>
      </c>
      <c r="AA16" s="5">
        <v>2</v>
      </c>
      <c r="AB16" s="5" t="s">
        <v>25</v>
      </c>
      <c r="AC16" s="5" t="s">
        <v>24</v>
      </c>
    </row>
    <row r="17" spans="1:40" ht="15" customHeight="1">
      <c r="A17" s="3" t="s">
        <v>58</v>
      </c>
      <c r="B17" s="60" t="s">
        <v>59</v>
      </c>
      <c r="C17" s="60"/>
      <c r="D17" s="71"/>
      <c r="E17" s="42" t="s">
        <v>60</v>
      </c>
      <c r="F17" s="42"/>
      <c r="G17" s="42"/>
      <c r="H17" s="42"/>
      <c r="I17" s="34" t="s">
        <v>19</v>
      </c>
      <c r="J17" s="34"/>
      <c r="K17" s="26" t="s">
        <v>20</v>
      </c>
      <c r="L17" s="26"/>
      <c r="M17" s="26"/>
      <c r="N17" s="30" t="s">
        <v>61</v>
      </c>
      <c r="O17" s="100"/>
      <c r="P17" s="30">
        <v>8</v>
      </c>
      <c r="Q17" s="100"/>
      <c r="R17" s="30" t="s">
        <v>22</v>
      </c>
      <c r="S17" s="100"/>
      <c r="T17" s="39" t="s">
        <v>62</v>
      </c>
      <c r="U17" s="39"/>
      <c r="V17" s="61" t="b">
        <v>1</v>
      </c>
      <c r="W17" s="61"/>
      <c r="X17" s="61" t="b">
        <v>1</v>
      </c>
      <c r="Y17" s="61"/>
      <c r="Z17" s="5" t="s">
        <v>24</v>
      </c>
      <c r="AA17" s="5">
        <v>4</v>
      </c>
      <c r="AB17" s="5" t="s">
        <v>25</v>
      </c>
      <c r="AC17" s="5" t="s">
        <v>24</v>
      </c>
    </row>
    <row r="18" spans="1:40" ht="15" customHeight="1">
      <c r="A18" s="3" t="s">
        <v>63</v>
      </c>
      <c r="B18" s="60" t="s">
        <v>64</v>
      </c>
      <c r="C18" s="102"/>
      <c r="D18" s="103"/>
      <c r="E18" s="42" t="s">
        <v>65</v>
      </c>
      <c r="F18" s="100"/>
      <c r="G18" s="100"/>
      <c r="H18" s="100"/>
      <c r="I18" s="34" t="s">
        <v>19</v>
      </c>
      <c r="J18" s="100"/>
      <c r="K18" s="26" t="s">
        <v>20</v>
      </c>
      <c r="L18" s="100"/>
      <c r="M18" s="100"/>
      <c r="N18" s="30" t="s">
        <v>66</v>
      </c>
      <c r="O18" s="100"/>
      <c r="P18" s="30">
        <v>5</v>
      </c>
      <c r="Q18" s="100"/>
      <c r="R18" s="30" t="s">
        <v>22</v>
      </c>
      <c r="S18" s="100"/>
      <c r="T18" s="39" t="s">
        <v>51</v>
      </c>
      <c r="U18" s="100"/>
      <c r="V18" s="61" t="b">
        <v>1</v>
      </c>
      <c r="W18" s="61"/>
      <c r="X18" s="61" t="b">
        <v>1</v>
      </c>
      <c r="Y18" s="61"/>
      <c r="Z18" s="5" t="s">
        <v>24</v>
      </c>
      <c r="AA18" s="5" t="s">
        <v>24</v>
      </c>
      <c r="AB18" s="5" t="s">
        <v>25</v>
      </c>
      <c r="AC18" s="5" t="s">
        <v>24</v>
      </c>
    </row>
    <row r="19" spans="1:40" ht="15" customHeight="1">
      <c r="A19" s="3" t="s">
        <v>67</v>
      </c>
      <c r="B19" s="60" t="s">
        <v>68</v>
      </c>
      <c r="C19" s="102"/>
      <c r="D19" s="103"/>
      <c r="E19" s="42" t="s">
        <v>69</v>
      </c>
      <c r="F19" s="100"/>
      <c r="G19" s="100"/>
      <c r="H19" s="100"/>
      <c r="I19" s="34" t="s">
        <v>24</v>
      </c>
      <c r="J19" s="100"/>
      <c r="K19" s="26" t="s">
        <v>20</v>
      </c>
      <c r="L19" s="100"/>
      <c r="M19" s="100"/>
      <c r="N19" s="30" t="s">
        <v>61</v>
      </c>
      <c r="O19" s="100"/>
      <c r="P19" s="30">
        <v>8</v>
      </c>
      <c r="Q19" s="100"/>
      <c r="R19" s="30" t="s">
        <v>22</v>
      </c>
      <c r="S19" s="100"/>
      <c r="T19" s="39" t="s">
        <v>41</v>
      </c>
      <c r="U19" s="100"/>
      <c r="V19" s="61" t="b">
        <v>1</v>
      </c>
      <c r="W19" s="61"/>
      <c r="X19" s="61" t="b">
        <v>1</v>
      </c>
      <c r="Y19" s="61"/>
      <c r="Z19" s="5" t="s">
        <v>24</v>
      </c>
      <c r="AA19" s="5" t="s">
        <v>24</v>
      </c>
      <c r="AB19" s="5" t="s">
        <v>25</v>
      </c>
      <c r="AC19" s="5" t="s">
        <v>24</v>
      </c>
    </row>
    <row r="20" spans="1:40" ht="15" customHeight="1">
      <c r="A20" s="3" t="s">
        <v>70</v>
      </c>
      <c r="B20" s="60" t="s">
        <v>71</v>
      </c>
      <c r="C20" s="102"/>
      <c r="D20" s="103"/>
      <c r="E20" s="42" t="s">
        <v>72</v>
      </c>
      <c r="F20" s="100"/>
      <c r="G20" s="100"/>
      <c r="H20" s="100"/>
      <c r="I20" s="34" t="s">
        <v>24</v>
      </c>
      <c r="J20" s="100"/>
      <c r="K20" s="27" t="s">
        <v>73</v>
      </c>
      <c r="L20" s="100"/>
      <c r="M20" s="100"/>
      <c r="N20" s="30" t="s">
        <v>61</v>
      </c>
      <c r="O20" s="100"/>
      <c r="P20" s="30">
        <v>8</v>
      </c>
      <c r="Q20" s="100"/>
      <c r="R20" s="30" t="s">
        <v>22</v>
      </c>
      <c r="S20" s="100"/>
      <c r="T20" s="39" t="s">
        <v>51</v>
      </c>
      <c r="U20" s="100"/>
      <c r="V20" s="61" t="b">
        <v>1</v>
      </c>
      <c r="W20" s="61"/>
      <c r="X20" s="61" t="b">
        <v>1</v>
      </c>
      <c r="Y20" s="61"/>
      <c r="Z20" s="5" t="s">
        <v>24</v>
      </c>
      <c r="AA20" s="5" t="s">
        <v>24</v>
      </c>
      <c r="AB20" s="5" t="s">
        <v>25</v>
      </c>
      <c r="AC20" s="5" t="s">
        <v>24</v>
      </c>
      <c r="AK20" s="1"/>
    </row>
    <row r="21" spans="1:40" ht="15.75" customHeight="1">
      <c r="A21" s="3" t="s">
        <v>74</v>
      </c>
      <c r="B21" s="60" t="s">
        <v>75</v>
      </c>
      <c r="C21" s="102"/>
      <c r="D21" s="103"/>
      <c r="E21" s="22" t="s">
        <v>76</v>
      </c>
      <c r="F21" s="23"/>
      <c r="G21" s="23"/>
      <c r="H21" s="24"/>
      <c r="I21" s="72" t="s">
        <v>24</v>
      </c>
      <c r="J21" s="73"/>
      <c r="K21" s="27" t="s">
        <v>73</v>
      </c>
      <c r="L21" s="100"/>
      <c r="M21" s="100"/>
      <c r="N21" s="30" t="s">
        <v>77</v>
      </c>
      <c r="O21" s="100"/>
      <c r="P21" s="30">
        <v>8</v>
      </c>
      <c r="Q21" s="100"/>
      <c r="R21" s="30" t="s">
        <v>78</v>
      </c>
      <c r="S21" s="100"/>
      <c r="T21" s="39" t="s">
        <v>79</v>
      </c>
      <c r="U21" s="100"/>
      <c r="V21" s="61" t="b">
        <v>1</v>
      </c>
      <c r="W21" s="61"/>
      <c r="X21" s="61" t="b">
        <v>1</v>
      </c>
      <c r="Y21" s="61"/>
      <c r="Z21" s="5" t="s">
        <v>24</v>
      </c>
      <c r="AA21" s="5">
        <v>2</v>
      </c>
      <c r="AB21" s="5" t="s">
        <v>80</v>
      </c>
      <c r="AC21" s="5" t="s">
        <v>24</v>
      </c>
      <c r="AJ21" s="1"/>
      <c r="AK21" s="1"/>
      <c r="AL21" s="1"/>
      <c r="AM21" s="1"/>
    </row>
    <row r="22" spans="1:40" ht="15.75" customHeight="1">
      <c r="A22" s="3" t="s">
        <v>81</v>
      </c>
      <c r="B22" s="60" t="s">
        <v>82</v>
      </c>
      <c r="C22" s="102"/>
      <c r="D22" s="103"/>
      <c r="E22" s="42" t="s">
        <v>83</v>
      </c>
      <c r="F22" s="100"/>
      <c r="G22" s="100"/>
      <c r="H22" s="100"/>
      <c r="I22" s="34" t="s">
        <v>19</v>
      </c>
      <c r="J22" s="100"/>
      <c r="K22" s="26" t="s">
        <v>20</v>
      </c>
      <c r="L22" s="100"/>
      <c r="M22" s="100"/>
      <c r="N22" s="30" t="s">
        <v>61</v>
      </c>
      <c r="O22" s="100"/>
      <c r="P22" s="30">
        <v>8</v>
      </c>
      <c r="Q22" s="100"/>
      <c r="R22" s="30" t="s">
        <v>22</v>
      </c>
      <c r="S22" s="100"/>
      <c r="T22" s="39" t="s">
        <v>51</v>
      </c>
      <c r="U22" s="100"/>
      <c r="V22" s="61" t="b">
        <v>1</v>
      </c>
      <c r="W22" s="61"/>
      <c r="X22" s="61" t="b">
        <v>1</v>
      </c>
      <c r="Y22" s="61"/>
      <c r="Z22" s="5" t="s">
        <v>24</v>
      </c>
      <c r="AA22" s="5">
        <v>3</v>
      </c>
      <c r="AB22" s="5" t="s">
        <v>25</v>
      </c>
      <c r="AC22" s="5" t="s">
        <v>24</v>
      </c>
      <c r="AJ22" s="1"/>
      <c r="AK22" s="83"/>
      <c r="AL22" s="83"/>
      <c r="AM22" s="83"/>
      <c r="AN22" s="1"/>
    </row>
    <row r="23" spans="1:40" ht="15.75" customHeight="1">
      <c r="A23" s="3" t="s">
        <v>84</v>
      </c>
      <c r="B23" s="60" t="s">
        <v>85</v>
      </c>
      <c r="C23" s="60"/>
      <c r="D23" s="71"/>
      <c r="E23" s="42" t="s">
        <v>86</v>
      </c>
      <c r="F23" s="42"/>
      <c r="G23" s="42"/>
      <c r="H23" s="42"/>
      <c r="I23" s="34" t="s">
        <v>19</v>
      </c>
      <c r="J23" s="100"/>
      <c r="K23" s="26" t="s">
        <v>20</v>
      </c>
      <c r="L23" s="100"/>
      <c r="M23" s="100"/>
      <c r="N23" s="30" t="s">
        <v>50</v>
      </c>
      <c r="O23" s="100"/>
      <c r="P23" s="30">
        <v>5</v>
      </c>
      <c r="Q23" s="100"/>
      <c r="R23" s="30" t="s">
        <v>22</v>
      </c>
      <c r="S23" s="100"/>
      <c r="T23" s="39" t="s">
        <v>62</v>
      </c>
      <c r="U23" s="39"/>
      <c r="V23" s="61" t="b">
        <v>1</v>
      </c>
      <c r="W23" s="61"/>
      <c r="X23" s="61" t="b">
        <v>1</v>
      </c>
      <c r="Y23" s="61"/>
      <c r="Z23" s="5" t="s">
        <v>24</v>
      </c>
      <c r="AA23" s="5">
        <v>4</v>
      </c>
      <c r="AB23" s="5" t="s">
        <v>25</v>
      </c>
      <c r="AC23" s="5" t="s">
        <v>24</v>
      </c>
      <c r="AJ23" s="1"/>
      <c r="AK23" s="1"/>
      <c r="AL23" s="1"/>
      <c r="AM23" s="10"/>
      <c r="AN23" s="1"/>
    </row>
    <row r="24" spans="1:40" ht="15.75" customHeight="1">
      <c r="A24" s="3" t="s">
        <v>87</v>
      </c>
      <c r="B24" s="60" t="s">
        <v>88</v>
      </c>
      <c r="C24" s="60"/>
      <c r="D24" s="71"/>
      <c r="E24" s="42" t="s">
        <v>89</v>
      </c>
      <c r="F24" s="42"/>
      <c r="G24" s="42"/>
      <c r="H24" s="42"/>
      <c r="I24" s="25" t="s">
        <v>19</v>
      </c>
      <c r="J24" s="100"/>
      <c r="K24" s="26" t="s">
        <v>20</v>
      </c>
      <c r="L24" s="100"/>
      <c r="M24" s="100"/>
      <c r="N24" s="30" t="s">
        <v>50</v>
      </c>
      <c r="O24" s="100"/>
      <c r="P24" s="30">
        <v>5</v>
      </c>
      <c r="Q24" s="100"/>
      <c r="R24" s="30" t="s">
        <v>22</v>
      </c>
      <c r="S24" s="100"/>
      <c r="T24" s="39" t="s">
        <v>90</v>
      </c>
      <c r="U24" s="100"/>
      <c r="V24" s="61" t="b">
        <v>1</v>
      </c>
      <c r="W24" s="61"/>
      <c r="X24" s="61" t="b">
        <v>1</v>
      </c>
      <c r="Y24" s="61"/>
      <c r="Z24" s="5" t="s">
        <v>24</v>
      </c>
      <c r="AA24" s="5">
        <v>4</v>
      </c>
      <c r="AB24" s="5" t="s">
        <v>25</v>
      </c>
      <c r="AC24" s="5" t="s">
        <v>24</v>
      </c>
      <c r="AJ24" s="1"/>
      <c r="AK24" s="1"/>
      <c r="AL24" s="1"/>
      <c r="AM24" s="10"/>
      <c r="AN24" s="1"/>
    </row>
    <row r="25" spans="1:40" ht="15.75" customHeight="1">
      <c r="A25" s="3" t="s">
        <v>91</v>
      </c>
      <c r="B25" s="60" t="s">
        <v>92</v>
      </c>
      <c r="C25" s="102"/>
      <c r="D25" s="103"/>
      <c r="E25" s="42" t="s">
        <v>93</v>
      </c>
      <c r="F25" s="100"/>
      <c r="G25" s="100"/>
      <c r="H25" s="100"/>
      <c r="I25" s="25" t="s">
        <v>19</v>
      </c>
      <c r="J25" s="100"/>
      <c r="K25" s="26" t="s">
        <v>20</v>
      </c>
      <c r="L25" s="100"/>
      <c r="M25" s="100"/>
      <c r="N25" s="30" t="s">
        <v>50</v>
      </c>
      <c r="O25" s="100"/>
      <c r="P25" s="30">
        <v>5</v>
      </c>
      <c r="Q25" s="100"/>
      <c r="R25" s="30" t="s">
        <v>22</v>
      </c>
      <c r="S25" s="100"/>
      <c r="T25" s="39" t="s">
        <v>94</v>
      </c>
      <c r="U25" s="100"/>
      <c r="V25" s="61" t="b">
        <v>1</v>
      </c>
      <c r="W25" s="61"/>
      <c r="X25" s="61" t="b">
        <v>1</v>
      </c>
      <c r="Y25" s="61"/>
      <c r="Z25" s="5" t="s">
        <v>24</v>
      </c>
      <c r="AA25" s="5">
        <v>4</v>
      </c>
      <c r="AB25" s="5" t="s">
        <v>25</v>
      </c>
      <c r="AC25" s="5" t="s">
        <v>24</v>
      </c>
      <c r="AJ25" s="1"/>
      <c r="AK25" s="1"/>
      <c r="AL25" s="1"/>
      <c r="AM25" s="10"/>
      <c r="AN25" s="1"/>
    </row>
    <row r="26" spans="1:40" ht="15.75" customHeight="1">
      <c r="A26" s="3" t="s">
        <v>95</v>
      </c>
      <c r="B26" s="60" t="s">
        <v>96</v>
      </c>
      <c r="C26" s="102"/>
      <c r="D26" s="103"/>
      <c r="E26" s="41" t="s">
        <v>97</v>
      </c>
      <c r="F26" s="104"/>
      <c r="G26" s="104"/>
      <c r="H26" s="104"/>
      <c r="I26" s="25" t="s">
        <v>19</v>
      </c>
      <c r="J26" s="100"/>
      <c r="K26" s="33" t="s">
        <v>98</v>
      </c>
      <c r="L26" s="100"/>
      <c r="M26" s="100"/>
      <c r="N26" s="30" t="s">
        <v>50</v>
      </c>
      <c r="O26" s="100"/>
      <c r="P26" s="52">
        <v>5</v>
      </c>
      <c r="Q26" s="100"/>
      <c r="R26" s="30" t="s">
        <v>78</v>
      </c>
      <c r="S26" s="100"/>
      <c r="T26" s="39"/>
      <c r="U26" s="100"/>
      <c r="V26" s="61" t="b">
        <v>0</v>
      </c>
      <c r="W26" s="61"/>
      <c r="X26" s="61" t="b">
        <v>0</v>
      </c>
      <c r="Y26" s="61"/>
      <c r="Z26" s="5" t="s">
        <v>24</v>
      </c>
      <c r="AA26" s="5">
        <v>3</v>
      </c>
      <c r="AB26" s="5" t="s">
        <v>80</v>
      </c>
      <c r="AC26" s="5" t="s">
        <v>24</v>
      </c>
      <c r="AJ26" s="1"/>
      <c r="AK26" s="84"/>
      <c r="AL26" s="84"/>
      <c r="AM26" s="10"/>
      <c r="AN26" s="1"/>
    </row>
    <row r="27" spans="1:40" ht="15.75" customHeight="1">
      <c r="A27" s="3" t="s">
        <v>99</v>
      </c>
      <c r="B27" s="60" t="s">
        <v>100</v>
      </c>
      <c r="C27" s="102"/>
      <c r="D27" s="103"/>
      <c r="E27" s="41" t="s">
        <v>101</v>
      </c>
      <c r="F27" s="104"/>
      <c r="G27" s="104"/>
      <c r="H27" s="104"/>
      <c r="I27" s="25" t="s">
        <v>19</v>
      </c>
      <c r="J27" s="100"/>
      <c r="K27" s="26" t="s">
        <v>20</v>
      </c>
      <c r="L27" s="100"/>
      <c r="M27" s="100"/>
      <c r="N27" s="30" t="s">
        <v>102</v>
      </c>
      <c r="O27" s="100"/>
      <c r="P27" s="30">
        <v>13</v>
      </c>
      <c r="Q27" s="100"/>
      <c r="R27" s="30" t="s">
        <v>78</v>
      </c>
      <c r="S27" s="100"/>
      <c r="T27" s="39" t="s">
        <v>103</v>
      </c>
      <c r="U27" s="100"/>
      <c r="V27" s="61" t="b">
        <v>1</v>
      </c>
      <c r="W27" s="61"/>
      <c r="X27" s="61" t="b">
        <v>1</v>
      </c>
      <c r="Y27" s="61"/>
      <c r="Z27" s="5" t="s">
        <v>24</v>
      </c>
      <c r="AA27" s="5">
        <v>2</v>
      </c>
      <c r="AB27" s="5" t="s">
        <v>80</v>
      </c>
      <c r="AC27" s="5" t="s">
        <v>24</v>
      </c>
      <c r="AK27" s="1"/>
      <c r="AL27" s="1"/>
      <c r="AM27" s="1"/>
    </row>
    <row r="28" spans="1:40" ht="15.75" customHeight="1">
      <c r="A28" s="3" t="s">
        <v>104</v>
      </c>
      <c r="B28" s="60" t="s">
        <v>105</v>
      </c>
      <c r="C28" s="102"/>
      <c r="D28" s="103"/>
      <c r="E28" s="42" t="s">
        <v>106</v>
      </c>
      <c r="F28" s="100"/>
      <c r="G28" s="100"/>
      <c r="H28" s="100"/>
      <c r="I28" s="25" t="s">
        <v>19</v>
      </c>
      <c r="J28" s="100"/>
      <c r="K28" s="27" t="s">
        <v>73</v>
      </c>
      <c r="L28" s="100"/>
      <c r="M28" s="100"/>
      <c r="N28" s="30" t="s">
        <v>50</v>
      </c>
      <c r="O28" s="100"/>
      <c r="P28" s="30">
        <v>5</v>
      </c>
      <c r="Q28" s="100"/>
      <c r="R28" s="30" t="s">
        <v>22</v>
      </c>
      <c r="S28" s="100"/>
      <c r="T28" s="39" t="s">
        <v>94</v>
      </c>
      <c r="U28" s="100"/>
      <c r="V28" s="61" t="b">
        <v>1</v>
      </c>
      <c r="W28" s="61"/>
      <c r="X28" s="61" t="b">
        <v>1</v>
      </c>
      <c r="Y28" s="61"/>
      <c r="Z28" s="5" t="s">
        <v>24</v>
      </c>
      <c r="AA28" s="5">
        <v>1</v>
      </c>
      <c r="AB28" s="5" t="s">
        <v>25</v>
      </c>
      <c r="AC28" s="5" t="s">
        <v>24</v>
      </c>
    </row>
    <row r="29" spans="1:40" ht="15.75" customHeight="1">
      <c r="A29" s="3" t="s">
        <v>107</v>
      </c>
      <c r="B29" s="60" t="s">
        <v>108</v>
      </c>
      <c r="C29" s="102"/>
      <c r="D29" s="103"/>
      <c r="E29" s="42" t="s">
        <v>109</v>
      </c>
      <c r="F29" s="100"/>
      <c r="G29" s="100"/>
      <c r="H29" s="100"/>
      <c r="I29" s="34" t="s">
        <v>110</v>
      </c>
      <c r="J29" s="100"/>
      <c r="K29" s="26" t="s">
        <v>20</v>
      </c>
      <c r="L29" s="100"/>
      <c r="M29" s="100"/>
      <c r="N29" s="30" t="s">
        <v>102</v>
      </c>
      <c r="O29" s="100"/>
      <c r="P29" s="30">
        <v>13</v>
      </c>
      <c r="Q29" s="100"/>
      <c r="R29" s="30" t="s">
        <v>22</v>
      </c>
      <c r="S29" s="100"/>
      <c r="T29" s="39" t="s">
        <v>23</v>
      </c>
      <c r="U29" s="100"/>
      <c r="V29" s="61" t="b">
        <v>1</v>
      </c>
      <c r="W29" s="61"/>
      <c r="X29" s="61" t="b">
        <v>1</v>
      </c>
      <c r="Y29" s="61"/>
      <c r="Z29" s="5" t="s">
        <v>24</v>
      </c>
      <c r="AA29" s="5">
        <v>3</v>
      </c>
      <c r="AB29" s="5" t="s">
        <v>25</v>
      </c>
      <c r="AC29" s="5" t="s">
        <v>24</v>
      </c>
    </row>
    <row r="30" spans="1:40" ht="15.75" customHeight="1">
      <c r="A30" s="3" t="s">
        <v>111</v>
      </c>
      <c r="B30" s="60" t="s">
        <v>112</v>
      </c>
      <c r="C30" s="102"/>
      <c r="D30" s="103"/>
      <c r="E30" s="42" t="s">
        <v>113</v>
      </c>
      <c r="F30" s="100"/>
      <c r="G30" s="100"/>
      <c r="H30" s="100"/>
      <c r="I30" s="34" t="s">
        <v>110</v>
      </c>
      <c r="J30" s="100"/>
      <c r="K30" s="26" t="s">
        <v>20</v>
      </c>
      <c r="L30" s="100"/>
      <c r="M30" s="100"/>
      <c r="N30" s="30" t="s">
        <v>21</v>
      </c>
      <c r="O30" s="100"/>
      <c r="P30" s="30">
        <v>3</v>
      </c>
      <c r="Q30" s="100"/>
      <c r="R30" s="30" t="s">
        <v>22</v>
      </c>
      <c r="S30" s="100"/>
      <c r="T30" s="39" t="s">
        <v>23</v>
      </c>
      <c r="U30" s="100"/>
      <c r="V30" s="61" t="b">
        <v>1</v>
      </c>
      <c r="W30" s="61"/>
      <c r="X30" s="61" t="b">
        <v>1</v>
      </c>
      <c r="Y30" s="61"/>
      <c r="Z30" s="5" t="s">
        <v>24</v>
      </c>
      <c r="AA30" s="5">
        <v>2</v>
      </c>
      <c r="AB30" s="5" t="s">
        <v>25</v>
      </c>
      <c r="AC30" s="5" t="s">
        <v>24</v>
      </c>
    </row>
    <row r="31" spans="1:40" ht="15.75" customHeight="1">
      <c r="A31" s="3" t="s">
        <v>114</v>
      </c>
      <c r="B31" s="60" t="s">
        <v>115</v>
      </c>
      <c r="C31" s="102"/>
      <c r="D31" s="103"/>
      <c r="E31" s="42" t="s">
        <v>116</v>
      </c>
      <c r="F31" s="100"/>
      <c r="G31" s="100"/>
      <c r="H31" s="100"/>
      <c r="I31" s="34" t="s">
        <v>110</v>
      </c>
      <c r="J31" s="100"/>
      <c r="K31" s="26" t="s">
        <v>20</v>
      </c>
      <c r="L31" s="100"/>
      <c r="M31" s="100"/>
      <c r="N31" s="30" t="s">
        <v>102</v>
      </c>
      <c r="O31" s="100"/>
      <c r="P31" s="30">
        <v>13</v>
      </c>
      <c r="Q31" s="100"/>
      <c r="R31" s="30" t="s">
        <v>22</v>
      </c>
      <c r="S31" s="100"/>
      <c r="T31" s="39" t="s">
        <v>62</v>
      </c>
      <c r="U31" s="100"/>
      <c r="V31" s="61" t="b">
        <v>1</v>
      </c>
      <c r="W31" s="61"/>
      <c r="X31" s="61" t="b">
        <v>1</v>
      </c>
      <c r="Y31" s="61"/>
      <c r="Z31" s="5" t="s">
        <v>24</v>
      </c>
      <c r="AA31" s="5">
        <v>1</v>
      </c>
      <c r="AB31" s="5" t="s">
        <v>25</v>
      </c>
      <c r="AC31" s="5" t="s">
        <v>24</v>
      </c>
    </row>
    <row r="32" spans="1:40" ht="15.75" customHeight="1">
      <c r="A32" s="3" t="s">
        <v>117</v>
      </c>
      <c r="B32" s="60" t="s">
        <v>118</v>
      </c>
      <c r="C32" s="102"/>
      <c r="D32" s="103"/>
      <c r="E32" s="42" t="s">
        <v>119</v>
      </c>
      <c r="F32" s="100"/>
      <c r="G32" s="100"/>
      <c r="H32" s="100"/>
      <c r="I32" s="25" t="s">
        <v>110</v>
      </c>
      <c r="J32" s="100"/>
      <c r="K32" s="26" t="s">
        <v>20</v>
      </c>
      <c r="L32" s="100"/>
      <c r="M32" s="100"/>
      <c r="N32" s="30" t="s">
        <v>102</v>
      </c>
      <c r="O32" s="100"/>
      <c r="P32" s="30">
        <v>13</v>
      </c>
      <c r="Q32" s="100"/>
      <c r="R32" s="30" t="s">
        <v>22</v>
      </c>
      <c r="S32" s="100"/>
      <c r="T32" s="39" t="s">
        <v>90</v>
      </c>
      <c r="U32" s="100"/>
      <c r="V32" s="61" t="b">
        <v>1</v>
      </c>
      <c r="W32" s="61"/>
      <c r="X32" s="61" t="b">
        <v>1</v>
      </c>
      <c r="Y32" s="61"/>
      <c r="Z32" s="5" t="s">
        <v>24</v>
      </c>
      <c r="AA32" s="5">
        <v>1</v>
      </c>
      <c r="AB32" s="5" t="s">
        <v>25</v>
      </c>
      <c r="AC32" s="5" t="s">
        <v>24</v>
      </c>
    </row>
    <row r="33" spans="1:40" ht="15.75" customHeight="1">
      <c r="A33" s="3" t="s">
        <v>120</v>
      </c>
      <c r="B33" s="60" t="s">
        <v>121</v>
      </c>
      <c r="C33" s="102"/>
      <c r="D33" s="103"/>
      <c r="E33" s="42" t="s">
        <v>122</v>
      </c>
      <c r="F33" s="100"/>
      <c r="G33" s="100"/>
      <c r="H33" s="100"/>
      <c r="I33" s="25" t="s">
        <v>110</v>
      </c>
      <c r="J33" s="100"/>
      <c r="K33" s="26" t="s">
        <v>20</v>
      </c>
      <c r="L33" s="100"/>
      <c r="M33" s="100"/>
      <c r="N33" s="30" t="s">
        <v>61</v>
      </c>
      <c r="O33" s="100"/>
      <c r="P33" s="30">
        <v>8</v>
      </c>
      <c r="Q33" s="100"/>
      <c r="R33" s="30" t="s">
        <v>22</v>
      </c>
      <c r="S33" s="100"/>
      <c r="T33" s="39" t="s">
        <v>94</v>
      </c>
      <c r="U33" s="100"/>
      <c r="V33" s="61" t="b">
        <v>1</v>
      </c>
      <c r="W33" s="61"/>
      <c r="X33" s="61" t="b">
        <v>1</v>
      </c>
      <c r="Y33" s="61"/>
      <c r="Z33" s="5" t="s">
        <v>24</v>
      </c>
      <c r="AA33" s="5">
        <v>3</v>
      </c>
      <c r="AB33" s="5" t="s">
        <v>25</v>
      </c>
      <c r="AC33" s="5" t="s">
        <v>24</v>
      </c>
    </row>
    <row r="34" spans="1:40" ht="15.75" customHeight="1">
      <c r="A34" s="3" t="s">
        <v>123</v>
      </c>
      <c r="B34" s="60" t="s">
        <v>124</v>
      </c>
      <c r="C34" s="102"/>
      <c r="D34" s="103"/>
      <c r="E34" s="41" t="s">
        <v>125</v>
      </c>
      <c r="F34" s="104"/>
      <c r="G34" s="104"/>
      <c r="H34" s="104"/>
      <c r="I34" s="25" t="s">
        <v>110</v>
      </c>
      <c r="J34" s="100"/>
      <c r="K34" s="27" t="s">
        <v>73</v>
      </c>
      <c r="L34" s="100"/>
      <c r="M34" s="100"/>
      <c r="N34" s="30" t="s">
        <v>102</v>
      </c>
      <c r="O34" s="100"/>
      <c r="P34" s="30">
        <v>13</v>
      </c>
      <c r="Q34" s="100"/>
      <c r="R34" s="30" t="s">
        <v>78</v>
      </c>
      <c r="S34" s="100"/>
      <c r="T34" s="39"/>
      <c r="U34" s="100"/>
      <c r="V34" s="61" t="b">
        <v>0</v>
      </c>
      <c r="W34" s="61"/>
      <c r="X34" s="61" t="b">
        <v>0</v>
      </c>
      <c r="Y34" s="61"/>
      <c r="Z34" s="5" t="s">
        <v>24</v>
      </c>
      <c r="AA34" s="5">
        <v>4</v>
      </c>
      <c r="AB34" s="5" t="s">
        <v>80</v>
      </c>
      <c r="AC34" s="5" t="s">
        <v>24</v>
      </c>
    </row>
    <row r="35" spans="1:40" ht="15.75" customHeight="1">
      <c r="A35" s="3" t="s">
        <v>126</v>
      </c>
      <c r="B35" s="60" t="s">
        <v>127</v>
      </c>
      <c r="C35" s="102"/>
      <c r="D35" s="103"/>
      <c r="E35" s="41" t="s">
        <v>128</v>
      </c>
      <c r="F35" s="104"/>
      <c r="G35" s="104"/>
      <c r="H35" s="104"/>
      <c r="I35" s="25" t="s">
        <v>110</v>
      </c>
      <c r="J35" s="100"/>
      <c r="K35" s="26" t="s">
        <v>20</v>
      </c>
      <c r="L35" s="100"/>
      <c r="M35" s="100"/>
      <c r="N35" s="30" t="s">
        <v>129</v>
      </c>
      <c r="O35" s="100"/>
      <c r="P35" s="30">
        <v>21</v>
      </c>
      <c r="Q35" s="100"/>
      <c r="R35" s="30" t="s">
        <v>78</v>
      </c>
      <c r="S35" s="100"/>
      <c r="T35" s="39" t="s">
        <v>130</v>
      </c>
      <c r="U35" s="100"/>
      <c r="V35" s="61" t="b">
        <v>1</v>
      </c>
      <c r="W35" s="61"/>
      <c r="X35" s="61" t="b">
        <v>1</v>
      </c>
      <c r="Y35" s="61"/>
      <c r="Z35" s="5" t="s">
        <v>24</v>
      </c>
      <c r="AA35" s="5">
        <v>1</v>
      </c>
      <c r="AB35" s="5" t="s">
        <v>80</v>
      </c>
      <c r="AC35" s="5" t="s">
        <v>24</v>
      </c>
    </row>
    <row r="36" spans="1:40" ht="15.75" customHeight="1">
      <c r="A36" s="3" t="s">
        <v>131</v>
      </c>
      <c r="B36" s="60" t="s">
        <v>132</v>
      </c>
      <c r="C36" s="102"/>
      <c r="D36" s="103"/>
      <c r="E36" s="42" t="s">
        <v>133</v>
      </c>
      <c r="F36" s="100"/>
      <c r="G36" s="100"/>
      <c r="H36" s="100"/>
      <c r="I36" s="25" t="s">
        <v>110</v>
      </c>
      <c r="J36" s="100"/>
      <c r="K36" s="27" t="s">
        <v>73</v>
      </c>
      <c r="L36" s="100"/>
      <c r="M36" s="100"/>
      <c r="N36" s="30" t="s">
        <v>61</v>
      </c>
      <c r="O36" s="100"/>
      <c r="P36" s="30">
        <v>8</v>
      </c>
      <c r="Q36" s="100"/>
      <c r="R36" s="30" t="s">
        <v>22</v>
      </c>
      <c r="S36" s="100"/>
      <c r="T36" s="39" t="s">
        <v>94</v>
      </c>
      <c r="U36" s="100"/>
      <c r="V36" s="61" t="b">
        <v>1</v>
      </c>
      <c r="W36" s="61"/>
      <c r="X36" s="61" t="b">
        <v>1</v>
      </c>
      <c r="Y36" s="61"/>
      <c r="Z36" s="5" t="s">
        <v>24</v>
      </c>
      <c r="AA36" s="5">
        <v>2</v>
      </c>
      <c r="AB36" s="5" t="s">
        <v>25</v>
      </c>
      <c r="AC36" s="5" t="s">
        <v>24</v>
      </c>
    </row>
    <row r="37" spans="1:40" ht="15.75" customHeight="1">
      <c r="A37" s="3" t="s">
        <v>134</v>
      </c>
      <c r="B37" s="65" t="s">
        <v>135</v>
      </c>
      <c r="C37" s="66"/>
      <c r="D37" s="67"/>
      <c r="E37" s="62" t="s">
        <v>136</v>
      </c>
      <c r="F37" s="63"/>
      <c r="G37" s="63"/>
      <c r="H37" s="64"/>
      <c r="I37" s="50" t="s">
        <v>110</v>
      </c>
      <c r="J37" s="51"/>
      <c r="K37" s="26" t="s">
        <v>20</v>
      </c>
      <c r="L37" s="100"/>
      <c r="M37" s="100"/>
      <c r="N37" s="28" t="s">
        <v>77</v>
      </c>
      <c r="O37" s="29"/>
      <c r="P37" s="28">
        <v>8</v>
      </c>
      <c r="Q37" s="29"/>
      <c r="R37" s="30" t="s">
        <v>22</v>
      </c>
      <c r="S37" s="100"/>
      <c r="T37" s="31" t="s">
        <v>62</v>
      </c>
      <c r="U37" s="32"/>
      <c r="V37" s="61" t="b">
        <v>1</v>
      </c>
      <c r="W37" s="61" t="b">
        <v>0</v>
      </c>
      <c r="X37" s="61" t="b">
        <v>1</v>
      </c>
      <c r="Y37" s="61" t="b">
        <v>0</v>
      </c>
      <c r="Z37" s="5" t="s">
        <v>24</v>
      </c>
      <c r="AA37" s="5">
        <v>1</v>
      </c>
      <c r="AB37" s="5" t="s">
        <v>25</v>
      </c>
      <c r="AC37" s="5" t="s">
        <v>24</v>
      </c>
    </row>
    <row r="38" spans="1:40" ht="15.75" customHeight="1">
      <c r="A38" s="3" t="s">
        <v>137</v>
      </c>
      <c r="B38" s="60" t="s">
        <v>138</v>
      </c>
      <c r="C38" s="102"/>
      <c r="D38" s="103"/>
      <c r="E38" s="62" t="s">
        <v>139</v>
      </c>
      <c r="F38" s="63"/>
      <c r="G38" s="63"/>
      <c r="H38" s="64"/>
      <c r="I38" s="50" t="s">
        <v>110</v>
      </c>
      <c r="J38" s="51"/>
      <c r="K38" s="26" t="s">
        <v>20</v>
      </c>
      <c r="L38" s="100"/>
      <c r="M38" s="100"/>
      <c r="N38" s="28" t="s">
        <v>77</v>
      </c>
      <c r="O38" s="29"/>
      <c r="P38" s="28">
        <v>8</v>
      </c>
      <c r="Q38" s="29"/>
      <c r="R38" s="30" t="s">
        <v>22</v>
      </c>
      <c r="S38" s="100"/>
      <c r="T38" s="31" t="s">
        <v>140</v>
      </c>
      <c r="U38" s="32"/>
      <c r="V38" s="61" t="b">
        <v>1</v>
      </c>
      <c r="W38" s="61" t="b">
        <v>0</v>
      </c>
      <c r="X38" s="61" t="b">
        <v>1</v>
      </c>
      <c r="Y38" s="61" t="b">
        <v>0</v>
      </c>
      <c r="Z38" s="5" t="s">
        <v>24</v>
      </c>
      <c r="AA38" s="5">
        <v>3</v>
      </c>
      <c r="AB38" s="5" t="s">
        <v>25</v>
      </c>
      <c r="AC38" s="5" t="s">
        <v>24</v>
      </c>
    </row>
    <row r="39" spans="1:40" ht="15.75" customHeight="1">
      <c r="A39" s="3" t="s">
        <v>141</v>
      </c>
      <c r="B39" s="60" t="s">
        <v>142</v>
      </c>
      <c r="C39" s="102"/>
      <c r="D39" s="103"/>
      <c r="E39" s="42" t="s">
        <v>143</v>
      </c>
      <c r="F39" s="100"/>
      <c r="G39" s="100"/>
      <c r="H39" s="100"/>
      <c r="I39" s="34" t="s">
        <v>19</v>
      </c>
      <c r="J39" s="100"/>
      <c r="K39" s="26" t="s">
        <v>20</v>
      </c>
      <c r="L39" s="100"/>
      <c r="M39" s="100"/>
      <c r="N39" s="30" t="s">
        <v>61</v>
      </c>
      <c r="O39" s="100"/>
      <c r="P39" s="30">
        <v>8</v>
      </c>
      <c r="Q39" s="100"/>
      <c r="R39" s="30" t="s">
        <v>22</v>
      </c>
      <c r="S39" s="100"/>
      <c r="T39" s="39" t="s">
        <v>23</v>
      </c>
      <c r="U39" s="100"/>
      <c r="V39" s="61" t="b">
        <v>1</v>
      </c>
      <c r="W39" s="61"/>
      <c r="X39" s="61" t="b">
        <v>1</v>
      </c>
      <c r="Y39" s="61"/>
      <c r="Z39" s="5" t="s">
        <v>24</v>
      </c>
      <c r="AA39" s="5">
        <v>4</v>
      </c>
      <c r="AB39" s="5" t="s">
        <v>25</v>
      </c>
      <c r="AC39" s="5" t="s">
        <v>24</v>
      </c>
    </row>
    <row r="40" spans="1:40" ht="15.75" customHeight="1">
      <c r="A40" s="3" t="s">
        <v>144</v>
      </c>
      <c r="B40" s="40" t="s">
        <v>145</v>
      </c>
      <c r="C40" s="105"/>
      <c r="D40" s="106"/>
      <c r="E40" s="42" t="s">
        <v>146</v>
      </c>
      <c r="F40" s="100"/>
      <c r="G40" s="100"/>
      <c r="H40" s="100"/>
      <c r="I40" s="43" t="s">
        <v>19</v>
      </c>
      <c r="J40" s="100"/>
      <c r="K40" s="26" t="s">
        <v>20</v>
      </c>
      <c r="L40" s="100"/>
      <c r="M40" s="100"/>
      <c r="N40" s="30" t="s">
        <v>61</v>
      </c>
      <c r="O40" s="100"/>
      <c r="P40" s="30">
        <v>8</v>
      </c>
      <c r="Q40" s="100"/>
      <c r="R40" s="30" t="s">
        <v>22</v>
      </c>
      <c r="S40" s="100"/>
      <c r="T40" s="39" t="s">
        <v>90</v>
      </c>
      <c r="U40" s="100"/>
      <c r="V40" s="61" t="b">
        <v>1</v>
      </c>
      <c r="W40" s="61"/>
      <c r="X40" s="61" t="b">
        <v>1</v>
      </c>
      <c r="Y40" s="61"/>
      <c r="Z40" s="5" t="s">
        <v>24</v>
      </c>
      <c r="AA40" s="5">
        <v>2</v>
      </c>
      <c r="AB40" s="5" t="s">
        <v>25</v>
      </c>
      <c r="AC40" s="5" t="s">
        <v>24</v>
      </c>
      <c r="AK40" s="1"/>
      <c r="AL40" s="1"/>
      <c r="AM40" s="1"/>
    </row>
    <row r="41" spans="1:40" ht="15.75" customHeight="1">
      <c r="A41" s="3" t="s">
        <v>147</v>
      </c>
      <c r="B41" s="40" t="s">
        <v>148</v>
      </c>
      <c r="C41" s="105"/>
      <c r="D41" s="106"/>
      <c r="E41" s="42" t="s">
        <v>149</v>
      </c>
      <c r="F41" s="100"/>
      <c r="G41" s="100"/>
      <c r="H41" s="100"/>
      <c r="I41" s="34" t="s">
        <v>24</v>
      </c>
      <c r="J41" s="100"/>
      <c r="K41" s="26" t="s">
        <v>20</v>
      </c>
      <c r="L41" s="100"/>
      <c r="M41" s="100"/>
      <c r="N41" s="30" t="s">
        <v>102</v>
      </c>
      <c r="O41" s="100"/>
      <c r="P41" s="30">
        <v>13</v>
      </c>
      <c r="Q41" s="100"/>
      <c r="R41" s="30" t="s">
        <v>22</v>
      </c>
      <c r="S41" s="100"/>
      <c r="T41" s="39" t="s">
        <v>51</v>
      </c>
      <c r="U41" s="100"/>
      <c r="V41" s="61" t="b">
        <v>1</v>
      </c>
      <c r="W41" s="61"/>
      <c r="X41" s="61" t="b">
        <v>1</v>
      </c>
      <c r="Y41" s="61"/>
      <c r="Z41" s="5" t="s">
        <v>24</v>
      </c>
      <c r="AA41" s="5" t="s">
        <v>24</v>
      </c>
      <c r="AB41" s="5" t="s">
        <v>25</v>
      </c>
      <c r="AC41" s="5" t="s">
        <v>24</v>
      </c>
      <c r="AN41" s="1"/>
    </row>
    <row r="42" spans="1:40" ht="15.75" customHeight="1">
      <c r="A42" s="3" t="s">
        <v>150</v>
      </c>
      <c r="B42" s="40" t="s">
        <v>151</v>
      </c>
      <c r="C42" s="105"/>
      <c r="D42" s="106"/>
      <c r="E42" s="42" t="s">
        <v>152</v>
      </c>
      <c r="F42" s="100"/>
      <c r="G42" s="100"/>
      <c r="H42" s="100"/>
      <c r="I42" s="34" t="s">
        <v>110</v>
      </c>
      <c r="J42" s="100"/>
      <c r="K42" s="33" t="s">
        <v>98</v>
      </c>
      <c r="L42" s="100"/>
      <c r="M42" s="100"/>
      <c r="N42" s="30" t="s">
        <v>50</v>
      </c>
      <c r="O42" s="100"/>
      <c r="P42" s="30">
        <v>5</v>
      </c>
      <c r="Q42" s="100"/>
      <c r="R42" s="30" t="s">
        <v>22</v>
      </c>
      <c r="S42" s="100"/>
      <c r="T42" s="39" t="s">
        <v>94</v>
      </c>
      <c r="U42" s="100"/>
      <c r="V42" s="61" t="b">
        <v>1</v>
      </c>
      <c r="W42" s="61"/>
      <c r="X42" s="61" t="b">
        <v>1</v>
      </c>
      <c r="Y42" s="61"/>
      <c r="Z42" s="5" t="s">
        <v>24</v>
      </c>
      <c r="AA42" s="5">
        <v>2</v>
      </c>
      <c r="AB42" s="5" t="s">
        <v>25</v>
      </c>
      <c r="AC42" s="5" t="s">
        <v>24</v>
      </c>
      <c r="AN42" s="1"/>
    </row>
    <row r="43" spans="1:40" ht="15.75" customHeight="1">
      <c r="A43" s="3" t="s">
        <v>153</v>
      </c>
      <c r="B43" s="44" t="s">
        <v>154</v>
      </c>
      <c r="C43" s="45"/>
      <c r="D43" s="46"/>
      <c r="E43" s="47" t="s">
        <v>155</v>
      </c>
      <c r="F43" s="48"/>
      <c r="G43" s="48"/>
      <c r="H43" s="49"/>
      <c r="I43" s="50" t="s">
        <v>110</v>
      </c>
      <c r="J43" s="51"/>
      <c r="K43" s="57" t="s">
        <v>98</v>
      </c>
      <c r="L43" s="58"/>
      <c r="M43" s="59"/>
      <c r="N43" s="53" t="s">
        <v>50</v>
      </c>
      <c r="O43" s="54"/>
      <c r="P43" s="55">
        <v>5</v>
      </c>
      <c r="Q43" s="56"/>
      <c r="R43" s="30" t="s">
        <v>78</v>
      </c>
      <c r="S43" s="100"/>
      <c r="T43" s="85"/>
      <c r="U43" s="86"/>
      <c r="V43" s="61" t="b">
        <v>0</v>
      </c>
      <c r="W43" s="61"/>
      <c r="X43" s="61" t="b">
        <v>0</v>
      </c>
      <c r="Y43" s="61"/>
      <c r="Z43" s="5" t="s">
        <v>24</v>
      </c>
      <c r="AA43" s="8">
        <v>4</v>
      </c>
      <c r="AB43" s="5" t="s">
        <v>80</v>
      </c>
      <c r="AC43" s="5" t="s">
        <v>24</v>
      </c>
      <c r="AN43" s="1"/>
    </row>
    <row r="44" spans="1:40" ht="15.75" customHeight="1">
      <c r="A44" s="3" t="s">
        <v>156</v>
      </c>
      <c r="B44" s="40" t="s">
        <v>157</v>
      </c>
      <c r="C44" s="105"/>
      <c r="D44" s="106"/>
      <c r="E44" s="41" t="s">
        <v>158</v>
      </c>
      <c r="F44" s="104"/>
      <c r="G44" s="104"/>
      <c r="H44" s="104"/>
      <c r="I44" s="34" t="s">
        <v>110</v>
      </c>
      <c r="J44" s="100"/>
      <c r="K44" s="33" t="s">
        <v>98</v>
      </c>
      <c r="L44" s="100"/>
      <c r="M44" s="100"/>
      <c r="N44" s="30" t="s">
        <v>129</v>
      </c>
      <c r="O44" s="100"/>
      <c r="P44" s="30">
        <v>21</v>
      </c>
      <c r="Q44" s="100"/>
      <c r="R44" s="30" t="s">
        <v>78</v>
      </c>
      <c r="S44" s="100"/>
      <c r="T44" s="39"/>
      <c r="U44" s="100"/>
      <c r="V44" s="61" t="b">
        <v>0</v>
      </c>
      <c r="W44" s="61"/>
      <c r="X44" s="61" t="b">
        <v>0</v>
      </c>
      <c r="Y44" s="61"/>
      <c r="Z44" s="5" t="s">
        <v>24</v>
      </c>
      <c r="AA44" s="5">
        <v>1</v>
      </c>
      <c r="AB44" s="5" t="s">
        <v>80</v>
      </c>
      <c r="AC44" s="5" t="s">
        <v>24</v>
      </c>
      <c r="AN44" s="1"/>
    </row>
    <row r="45" spans="1:40" ht="15.75" customHeight="1">
      <c r="A45" s="7" t="s">
        <v>159</v>
      </c>
      <c r="B45" s="75" t="s">
        <v>160</v>
      </c>
      <c r="C45" s="107"/>
      <c r="D45" s="108"/>
      <c r="E45" s="76" t="s">
        <v>161</v>
      </c>
      <c r="F45" s="109"/>
      <c r="G45" s="109"/>
      <c r="H45" s="109"/>
      <c r="I45" s="77" t="s">
        <v>19</v>
      </c>
      <c r="J45" s="109"/>
      <c r="K45" s="26" t="s">
        <v>20</v>
      </c>
      <c r="L45" s="100"/>
      <c r="M45" s="100"/>
      <c r="N45" s="78" t="s">
        <v>102</v>
      </c>
      <c r="O45" s="109"/>
      <c r="P45" s="78">
        <v>21</v>
      </c>
      <c r="Q45" s="109"/>
      <c r="R45" s="30" t="s">
        <v>22</v>
      </c>
      <c r="S45" s="100"/>
      <c r="T45" s="79" t="s">
        <v>62</v>
      </c>
      <c r="U45" s="109"/>
      <c r="V45" s="80" t="b">
        <v>1</v>
      </c>
      <c r="W45" s="80"/>
      <c r="X45" s="80" t="b">
        <v>1</v>
      </c>
      <c r="Y45" s="80"/>
      <c r="Z45" s="5" t="s">
        <v>24</v>
      </c>
      <c r="AA45" s="8">
        <v>2</v>
      </c>
      <c r="AB45" s="5" t="s">
        <v>25</v>
      </c>
      <c r="AC45" s="5" t="s">
        <v>24</v>
      </c>
      <c r="AK45" s="1"/>
      <c r="AL45" s="1"/>
      <c r="AM45" s="1"/>
    </row>
    <row r="46" spans="1:40" ht="15.75" customHeight="1">
      <c r="A46" s="7" t="s">
        <v>162</v>
      </c>
      <c r="B46" s="81" t="s">
        <v>163</v>
      </c>
      <c r="C46" s="81"/>
      <c r="D46" s="81"/>
      <c r="E46" s="50" t="s">
        <v>164</v>
      </c>
      <c r="F46" s="82"/>
      <c r="G46" s="82"/>
      <c r="H46" s="51"/>
      <c r="I46" s="77" t="s">
        <v>19</v>
      </c>
      <c r="J46" s="109"/>
      <c r="K46" s="27" t="s">
        <v>73</v>
      </c>
      <c r="L46" s="100"/>
      <c r="M46" s="100"/>
      <c r="N46" s="30" t="s">
        <v>61</v>
      </c>
      <c r="O46" s="100"/>
      <c r="P46" s="30">
        <v>8</v>
      </c>
      <c r="Q46" s="100"/>
      <c r="R46" s="30" t="s">
        <v>22</v>
      </c>
      <c r="S46" s="100"/>
      <c r="T46" s="39" t="s">
        <v>140</v>
      </c>
      <c r="U46" s="100"/>
      <c r="V46" s="19" t="b">
        <v>1</v>
      </c>
      <c r="W46" s="20"/>
      <c r="X46" s="80" t="b">
        <v>1</v>
      </c>
      <c r="Y46" s="80"/>
      <c r="Z46" s="5" t="s">
        <v>24</v>
      </c>
      <c r="AA46" s="5">
        <v>1</v>
      </c>
      <c r="AB46" s="5" t="s">
        <v>25</v>
      </c>
      <c r="AC46" s="5" t="s">
        <v>24</v>
      </c>
      <c r="AH46" s="6" t="s">
        <v>165</v>
      </c>
    </row>
    <row r="47" spans="1:40" ht="15.75" customHeight="1">
      <c r="A47" s="7" t="s">
        <v>166</v>
      </c>
      <c r="B47" s="81" t="s">
        <v>167</v>
      </c>
      <c r="C47" s="81"/>
      <c r="D47" s="81"/>
      <c r="E47" s="50" t="s">
        <v>168</v>
      </c>
      <c r="F47" s="82"/>
      <c r="G47" s="82"/>
      <c r="H47" s="51"/>
      <c r="I47" s="77" t="s">
        <v>19</v>
      </c>
      <c r="J47" s="109"/>
      <c r="K47" s="27" t="s">
        <v>73</v>
      </c>
      <c r="L47" s="100"/>
      <c r="M47" s="100"/>
      <c r="N47" s="30" t="s">
        <v>21</v>
      </c>
      <c r="O47" s="100"/>
      <c r="P47" s="30">
        <v>8</v>
      </c>
      <c r="Q47" s="100"/>
      <c r="R47" s="30" t="s">
        <v>22</v>
      </c>
      <c r="S47" s="100"/>
      <c r="T47" s="39" t="s">
        <v>140</v>
      </c>
      <c r="U47" s="100"/>
      <c r="V47" s="19" t="b">
        <v>1</v>
      </c>
      <c r="W47" s="20"/>
      <c r="X47" s="80" t="b">
        <v>1</v>
      </c>
      <c r="Y47" s="80"/>
      <c r="Z47" s="5" t="s">
        <v>24</v>
      </c>
      <c r="AA47" s="5">
        <v>2</v>
      </c>
      <c r="AB47" s="5" t="s">
        <v>25</v>
      </c>
      <c r="AC47" s="5" t="s">
        <v>24</v>
      </c>
    </row>
    <row r="48" spans="1:40" ht="15.75" customHeight="1">
      <c r="A48" s="7" t="s">
        <v>169</v>
      </c>
      <c r="B48" s="81" t="s">
        <v>170</v>
      </c>
      <c r="C48" s="81"/>
      <c r="D48" s="81"/>
      <c r="E48" s="50" t="s">
        <v>171</v>
      </c>
      <c r="F48" s="82"/>
      <c r="G48" s="82"/>
      <c r="H48" s="51"/>
      <c r="I48" s="77" t="s">
        <v>19</v>
      </c>
      <c r="J48" s="109"/>
      <c r="K48" s="26" t="s">
        <v>20</v>
      </c>
      <c r="L48" s="100"/>
      <c r="M48" s="100"/>
      <c r="N48" s="30" t="s">
        <v>61</v>
      </c>
      <c r="O48" s="100"/>
      <c r="P48" s="30">
        <v>8</v>
      </c>
      <c r="Q48" s="100"/>
      <c r="R48" s="30" t="s">
        <v>22</v>
      </c>
      <c r="S48" s="100"/>
      <c r="T48" s="39" t="s">
        <v>140</v>
      </c>
      <c r="U48" s="100"/>
      <c r="V48" s="19" t="b">
        <v>1</v>
      </c>
      <c r="W48" s="20"/>
      <c r="X48" s="80" t="b">
        <v>1</v>
      </c>
      <c r="Y48" s="80"/>
      <c r="Z48" s="5" t="s">
        <v>24</v>
      </c>
      <c r="AA48" s="5">
        <v>2</v>
      </c>
      <c r="AB48" s="5" t="s">
        <v>25</v>
      </c>
      <c r="AC48" s="5" t="s">
        <v>24</v>
      </c>
    </row>
    <row r="49" spans="1:29" ht="15.75" customHeight="1">
      <c r="A49" s="7" t="s">
        <v>172</v>
      </c>
      <c r="B49" s="21" t="s">
        <v>173</v>
      </c>
      <c r="C49" s="21"/>
      <c r="D49" s="21"/>
      <c r="E49" s="22" t="s">
        <v>174</v>
      </c>
      <c r="F49" s="23"/>
      <c r="G49" s="23"/>
      <c r="H49" s="24"/>
      <c r="I49" s="77" t="s">
        <v>24</v>
      </c>
      <c r="J49" s="109"/>
      <c r="K49" s="26" t="s">
        <v>20</v>
      </c>
      <c r="L49" s="100"/>
      <c r="M49" s="100"/>
      <c r="N49" s="30" t="s">
        <v>129</v>
      </c>
      <c r="O49" s="100"/>
      <c r="P49" s="30">
        <v>21</v>
      </c>
      <c r="Q49" s="100"/>
      <c r="R49" s="30" t="s">
        <v>78</v>
      </c>
      <c r="S49" s="100"/>
      <c r="T49" s="31" t="s">
        <v>175</v>
      </c>
      <c r="U49" s="32"/>
      <c r="V49" s="80" t="b">
        <v>1</v>
      </c>
      <c r="W49" s="80"/>
      <c r="X49" s="80" t="b">
        <v>1</v>
      </c>
      <c r="Y49" s="80"/>
      <c r="Z49" s="5" t="s">
        <v>24</v>
      </c>
      <c r="AA49" s="5" t="s">
        <v>24</v>
      </c>
      <c r="AB49" s="5" t="s">
        <v>80</v>
      </c>
      <c r="AC49" s="5" t="s">
        <v>24</v>
      </c>
    </row>
    <row r="50" spans="1:29" ht="15.75" customHeight="1">
      <c r="A50" s="7" t="s">
        <v>176</v>
      </c>
      <c r="B50" s="21" t="s">
        <v>177</v>
      </c>
      <c r="C50" s="21"/>
      <c r="D50" s="21"/>
      <c r="E50" s="22" t="s">
        <v>178</v>
      </c>
      <c r="F50" s="23"/>
      <c r="G50" s="23"/>
      <c r="H50" s="24"/>
      <c r="I50" s="34" t="s">
        <v>110</v>
      </c>
      <c r="J50" s="100"/>
      <c r="K50" s="26" t="s">
        <v>20</v>
      </c>
      <c r="L50" s="100"/>
      <c r="M50" s="100"/>
      <c r="N50" s="28" t="s">
        <v>50</v>
      </c>
      <c r="O50" s="29"/>
      <c r="P50" s="30">
        <v>5</v>
      </c>
      <c r="Q50" s="100"/>
      <c r="R50" s="30" t="s">
        <v>78</v>
      </c>
      <c r="S50" s="100"/>
      <c r="T50" s="31" t="s">
        <v>179</v>
      </c>
      <c r="U50" s="32"/>
      <c r="V50" s="19" t="b">
        <v>1</v>
      </c>
      <c r="W50" s="20"/>
      <c r="X50" s="19" t="b">
        <v>1</v>
      </c>
      <c r="Y50" s="20"/>
      <c r="Z50" s="5" t="s">
        <v>24</v>
      </c>
      <c r="AA50" s="5">
        <v>4</v>
      </c>
      <c r="AB50" s="5" t="s">
        <v>80</v>
      </c>
      <c r="AC50" s="5" t="s">
        <v>24</v>
      </c>
    </row>
    <row r="51" spans="1:29" ht="15.75" customHeight="1">
      <c r="A51" s="7" t="s">
        <v>180</v>
      </c>
      <c r="B51" s="21" t="s">
        <v>181</v>
      </c>
      <c r="C51" s="21"/>
      <c r="D51" s="21"/>
      <c r="E51" s="22" t="s">
        <v>182</v>
      </c>
      <c r="F51" s="23"/>
      <c r="G51" s="23"/>
      <c r="H51" s="24"/>
      <c r="I51" s="34" t="s">
        <v>110</v>
      </c>
      <c r="J51" s="100"/>
      <c r="K51" s="26" t="s">
        <v>20</v>
      </c>
      <c r="L51" s="100"/>
      <c r="M51" s="100"/>
      <c r="N51" s="28" t="s">
        <v>102</v>
      </c>
      <c r="O51" s="29"/>
      <c r="P51" s="30">
        <v>13</v>
      </c>
      <c r="Q51" s="100"/>
      <c r="R51" s="30" t="s">
        <v>78</v>
      </c>
      <c r="S51" s="100"/>
      <c r="T51" s="31" t="s">
        <v>183</v>
      </c>
      <c r="U51" s="32"/>
      <c r="V51" s="19" t="b">
        <v>0</v>
      </c>
      <c r="W51" s="20"/>
      <c r="X51" s="19" t="b">
        <v>0</v>
      </c>
      <c r="Y51" s="20"/>
      <c r="Z51" s="5" t="s">
        <v>24</v>
      </c>
      <c r="AA51" s="5">
        <v>4</v>
      </c>
      <c r="AB51" s="5" t="s">
        <v>80</v>
      </c>
      <c r="AC51" s="5" t="s">
        <v>24</v>
      </c>
    </row>
    <row r="52" spans="1:29" ht="15.75" customHeight="1">
      <c r="A52" s="7" t="s">
        <v>184</v>
      </c>
      <c r="B52" s="21" t="s">
        <v>185</v>
      </c>
      <c r="C52" s="21"/>
      <c r="D52" s="21"/>
      <c r="E52" s="22" t="s">
        <v>186</v>
      </c>
      <c r="F52" s="23"/>
      <c r="G52" s="23"/>
      <c r="H52" s="24"/>
      <c r="I52" s="34" t="s">
        <v>110</v>
      </c>
      <c r="J52" s="100"/>
      <c r="K52" s="26" t="s">
        <v>20</v>
      </c>
      <c r="L52" s="100"/>
      <c r="M52" s="100"/>
      <c r="N52" s="28" t="s">
        <v>129</v>
      </c>
      <c r="O52" s="29"/>
      <c r="P52" s="30">
        <v>21</v>
      </c>
      <c r="Q52" s="100"/>
      <c r="R52" s="30" t="s">
        <v>78</v>
      </c>
      <c r="S52" s="100"/>
      <c r="T52" s="97" t="s">
        <v>187</v>
      </c>
      <c r="U52" s="32"/>
      <c r="V52" s="19" t="b">
        <v>1</v>
      </c>
      <c r="W52" s="20"/>
      <c r="X52" s="19" t="b">
        <v>1</v>
      </c>
      <c r="Y52" s="20"/>
      <c r="Z52" s="5" t="s">
        <v>24</v>
      </c>
      <c r="AA52" s="5">
        <v>1</v>
      </c>
      <c r="AB52" s="5" t="s">
        <v>80</v>
      </c>
      <c r="AC52" s="5" t="s">
        <v>24</v>
      </c>
    </row>
    <row r="53" spans="1:29" ht="15.75" customHeight="1">
      <c r="A53" s="7" t="s">
        <v>188</v>
      </c>
      <c r="B53" s="21" t="s">
        <v>189</v>
      </c>
      <c r="C53" s="21"/>
      <c r="D53" s="21"/>
      <c r="E53" s="22" t="s">
        <v>190</v>
      </c>
      <c r="F53" s="23"/>
      <c r="G53" s="23"/>
      <c r="H53" s="24"/>
      <c r="I53" s="34" t="s">
        <v>110</v>
      </c>
      <c r="J53" s="100"/>
      <c r="K53" s="26" t="s">
        <v>20</v>
      </c>
      <c r="L53" s="100"/>
      <c r="M53" s="100"/>
      <c r="N53" s="28" t="s">
        <v>129</v>
      </c>
      <c r="O53" s="29"/>
      <c r="P53" s="30">
        <v>21</v>
      </c>
      <c r="Q53" s="100"/>
      <c r="R53" s="30" t="s">
        <v>78</v>
      </c>
      <c r="S53" s="100"/>
      <c r="T53" s="31" t="s">
        <v>191</v>
      </c>
      <c r="U53" s="32"/>
      <c r="V53" s="19" t="b">
        <v>1</v>
      </c>
      <c r="W53" s="20"/>
      <c r="X53" s="19" t="b">
        <v>1</v>
      </c>
      <c r="Y53" s="20"/>
      <c r="Z53" s="5" t="s">
        <v>24</v>
      </c>
      <c r="AA53" s="5">
        <v>3</v>
      </c>
      <c r="AB53" s="5" t="s">
        <v>80</v>
      </c>
      <c r="AC53" s="5" t="s">
        <v>24</v>
      </c>
    </row>
    <row r="54" spans="1:29" ht="15.75" customHeight="1">
      <c r="A54" s="7" t="s">
        <v>192</v>
      </c>
      <c r="B54" s="96" t="s">
        <v>193</v>
      </c>
      <c r="C54" s="96"/>
      <c r="D54" s="96"/>
      <c r="E54" s="22" t="s">
        <v>194</v>
      </c>
      <c r="F54" s="23"/>
      <c r="G54" s="23"/>
      <c r="H54" s="24"/>
      <c r="I54" s="34" t="s">
        <v>110</v>
      </c>
      <c r="J54" s="100"/>
      <c r="K54" s="26" t="s">
        <v>20</v>
      </c>
      <c r="L54" s="100"/>
      <c r="M54" s="100"/>
      <c r="N54" s="28" t="s">
        <v>129</v>
      </c>
      <c r="O54" s="29"/>
      <c r="P54" s="30">
        <v>21</v>
      </c>
      <c r="Q54" s="100"/>
      <c r="R54" s="30" t="s">
        <v>78</v>
      </c>
      <c r="S54" s="100"/>
      <c r="T54" s="31" t="s">
        <v>195</v>
      </c>
      <c r="U54" s="32"/>
      <c r="V54" s="19" t="b">
        <v>1</v>
      </c>
      <c r="W54" s="20"/>
      <c r="X54" s="19" t="b">
        <v>1</v>
      </c>
      <c r="Y54" s="20"/>
      <c r="Z54" s="5" t="s">
        <v>24</v>
      </c>
      <c r="AA54" s="5">
        <v>4</v>
      </c>
      <c r="AB54" s="5" t="s">
        <v>80</v>
      </c>
      <c r="AC54" s="5" t="s">
        <v>24</v>
      </c>
    </row>
    <row r="55" spans="1:29" ht="15.75" customHeight="1">
      <c r="A55" s="11" t="s">
        <v>196</v>
      </c>
      <c r="B55" s="21" t="s">
        <v>197</v>
      </c>
      <c r="C55" s="21"/>
      <c r="D55" s="21"/>
      <c r="E55" s="22" t="s">
        <v>198</v>
      </c>
      <c r="F55" s="23"/>
      <c r="G55" s="23"/>
      <c r="H55" s="24"/>
      <c r="I55" s="25" t="s">
        <v>24</v>
      </c>
      <c r="J55" s="100"/>
      <c r="K55" s="26" t="s">
        <v>20</v>
      </c>
      <c r="L55" s="100"/>
      <c r="M55" s="100"/>
      <c r="N55" s="28" t="s">
        <v>102</v>
      </c>
      <c r="O55" s="29"/>
      <c r="P55" s="30">
        <v>13</v>
      </c>
      <c r="Q55" s="100"/>
      <c r="R55" s="30" t="s">
        <v>78</v>
      </c>
      <c r="S55" s="100"/>
      <c r="T55" s="31" t="s">
        <v>183</v>
      </c>
      <c r="U55" s="32"/>
      <c r="V55" s="19" t="b">
        <v>1</v>
      </c>
      <c r="W55" s="20"/>
      <c r="X55" s="19" t="b">
        <v>1</v>
      </c>
      <c r="Y55" s="20"/>
      <c r="Z55" s="5" t="s">
        <v>24</v>
      </c>
      <c r="AA55" s="5" t="s">
        <v>24</v>
      </c>
      <c r="AB55" s="5" t="s">
        <v>80</v>
      </c>
      <c r="AC55" s="5" t="s">
        <v>24</v>
      </c>
    </row>
    <row r="56" spans="1:29" ht="15.75" customHeight="1">
      <c r="A56" s="11" t="s">
        <v>199</v>
      </c>
      <c r="B56" s="21" t="s">
        <v>200</v>
      </c>
      <c r="C56" s="21"/>
      <c r="D56" s="21"/>
      <c r="E56" s="22" t="s">
        <v>201</v>
      </c>
      <c r="F56" s="23"/>
      <c r="G56" s="23"/>
      <c r="H56" s="24"/>
      <c r="I56" s="25" t="s">
        <v>24</v>
      </c>
      <c r="J56" s="100"/>
      <c r="K56" s="26" t="s">
        <v>20</v>
      </c>
      <c r="L56" s="100"/>
      <c r="M56" s="100"/>
      <c r="N56" s="28" t="s">
        <v>77</v>
      </c>
      <c r="O56" s="29"/>
      <c r="P56" s="30">
        <v>8</v>
      </c>
      <c r="Q56" s="100"/>
      <c r="R56" s="30" t="s">
        <v>78</v>
      </c>
      <c r="S56" s="100"/>
      <c r="T56" s="31" t="s">
        <v>103</v>
      </c>
      <c r="U56" s="32"/>
      <c r="V56" s="19" t="b">
        <v>1</v>
      </c>
      <c r="W56" s="20"/>
      <c r="X56" s="19" t="b">
        <v>1</v>
      </c>
      <c r="Y56" s="20"/>
      <c r="Z56" s="5" t="s">
        <v>24</v>
      </c>
      <c r="AA56" s="5" t="s">
        <v>24</v>
      </c>
      <c r="AB56" s="5" t="s">
        <v>80</v>
      </c>
      <c r="AC56" s="5" t="s">
        <v>24</v>
      </c>
    </row>
    <row r="57" spans="1:29" ht="15.75" customHeight="1">
      <c r="A57" s="11" t="s">
        <v>202</v>
      </c>
      <c r="B57" s="21" t="s">
        <v>203</v>
      </c>
      <c r="C57" s="21"/>
      <c r="D57" s="21"/>
      <c r="E57" s="35" t="s">
        <v>204</v>
      </c>
      <c r="F57" s="23"/>
      <c r="G57" s="23"/>
      <c r="H57" s="24"/>
      <c r="I57" s="25" t="s">
        <v>24</v>
      </c>
      <c r="J57" s="100"/>
      <c r="K57" s="27" t="s">
        <v>73</v>
      </c>
      <c r="L57" s="100"/>
      <c r="M57" s="100"/>
      <c r="N57" s="28" t="s">
        <v>77</v>
      </c>
      <c r="O57" s="29"/>
      <c r="P57" s="30">
        <v>8</v>
      </c>
      <c r="Q57" s="100"/>
      <c r="R57" s="30" t="s">
        <v>78</v>
      </c>
      <c r="S57" s="100"/>
      <c r="T57" s="31" t="s">
        <v>187</v>
      </c>
      <c r="U57" s="32"/>
      <c r="V57" s="19" t="b">
        <v>1</v>
      </c>
      <c r="W57" s="20"/>
      <c r="X57" s="19" t="b">
        <v>1</v>
      </c>
      <c r="Y57" s="20"/>
      <c r="Z57" s="5" t="s">
        <v>24</v>
      </c>
      <c r="AA57" s="5" t="s">
        <v>24</v>
      </c>
      <c r="AB57" s="5" t="s">
        <v>80</v>
      </c>
      <c r="AC57" s="5" t="s">
        <v>24</v>
      </c>
    </row>
    <row r="58" spans="1:29" ht="17.25" customHeight="1">
      <c r="A58" s="11" t="s">
        <v>205</v>
      </c>
      <c r="B58" s="21" t="s">
        <v>206</v>
      </c>
      <c r="C58" s="21"/>
      <c r="D58" s="21"/>
      <c r="E58" s="22"/>
      <c r="F58" s="23"/>
      <c r="G58" s="23"/>
      <c r="H58" s="24"/>
      <c r="I58" s="34" t="s">
        <v>110</v>
      </c>
      <c r="J58" s="100"/>
      <c r="K58" s="33" t="s">
        <v>98</v>
      </c>
      <c r="L58" s="100"/>
      <c r="M58" s="100"/>
      <c r="N58" s="28" t="s">
        <v>102</v>
      </c>
      <c r="O58" s="29"/>
      <c r="P58" s="30">
        <v>13</v>
      </c>
      <c r="Q58" s="100"/>
      <c r="R58" s="30" t="s">
        <v>78</v>
      </c>
      <c r="S58" s="100"/>
      <c r="T58" s="31" t="s">
        <v>207</v>
      </c>
      <c r="U58" s="32"/>
      <c r="V58" s="19" t="b">
        <v>0</v>
      </c>
      <c r="W58" s="20"/>
      <c r="X58" s="19" t="b">
        <v>0</v>
      </c>
      <c r="Y58" s="20"/>
      <c r="Z58" s="5" t="s">
        <v>24</v>
      </c>
      <c r="AA58" s="5"/>
      <c r="AB58" s="5" t="s">
        <v>80</v>
      </c>
      <c r="AC58" s="5" t="s">
        <v>24</v>
      </c>
    </row>
    <row r="59" spans="1:29" ht="15.75" customHeight="1">
      <c r="A59" s="11" t="s">
        <v>208</v>
      </c>
      <c r="B59" s="21" t="s">
        <v>209</v>
      </c>
      <c r="C59" s="21"/>
      <c r="D59" s="21"/>
      <c r="E59" s="22" t="s">
        <v>210</v>
      </c>
      <c r="F59" s="23"/>
      <c r="G59" s="23"/>
      <c r="H59" s="24"/>
      <c r="I59" s="34" t="s">
        <v>110</v>
      </c>
      <c r="J59" s="100"/>
      <c r="K59" s="26" t="s">
        <v>20</v>
      </c>
      <c r="L59" s="100"/>
      <c r="M59" s="100"/>
      <c r="N59" s="28" t="s">
        <v>77</v>
      </c>
      <c r="O59" s="29"/>
      <c r="P59" s="30">
        <v>8</v>
      </c>
      <c r="Q59" s="100"/>
      <c r="R59" s="30" t="s">
        <v>78</v>
      </c>
      <c r="S59" s="100"/>
      <c r="T59" s="31" t="s">
        <v>183</v>
      </c>
      <c r="U59" s="32"/>
      <c r="V59" s="19" t="b">
        <v>1</v>
      </c>
      <c r="W59" s="20"/>
      <c r="X59" s="19" t="b">
        <v>1</v>
      </c>
      <c r="Y59" s="20"/>
      <c r="Z59" s="5" t="s">
        <v>24</v>
      </c>
      <c r="AA59" s="5">
        <v>3</v>
      </c>
      <c r="AB59" s="5" t="s">
        <v>80</v>
      </c>
      <c r="AC59" s="5" t="s">
        <v>24</v>
      </c>
    </row>
    <row r="60" spans="1:29" ht="15.75" customHeight="1">
      <c r="A60" s="11" t="s">
        <v>211</v>
      </c>
      <c r="B60" s="21" t="s">
        <v>212</v>
      </c>
      <c r="C60" s="21"/>
      <c r="D60" s="21"/>
      <c r="E60" s="22" t="s">
        <v>213</v>
      </c>
      <c r="F60" s="23"/>
      <c r="G60" s="23"/>
      <c r="H60" s="24"/>
      <c r="I60" s="34" t="s">
        <v>110</v>
      </c>
      <c r="J60" s="100"/>
      <c r="K60" s="26" t="s">
        <v>20</v>
      </c>
      <c r="L60" s="100"/>
      <c r="M60" s="100"/>
      <c r="N60" s="28" t="s">
        <v>102</v>
      </c>
      <c r="O60" s="29"/>
      <c r="P60" s="30">
        <v>13</v>
      </c>
      <c r="Q60" s="100"/>
      <c r="R60" s="30" t="s">
        <v>78</v>
      </c>
      <c r="S60" s="100"/>
      <c r="T60" s="31" t="s">
        <v>191</v>
      </c>
      <c r="U60" s="32"/>
      <c r="V60" s="19" t="b">
        <v>0</v>
      </c>
      <c r="W60" s="20"/>
      <c r="X60" s="19" t="b">
        <v>0</v>
      </c>
      <c r="Y60" s="20"/>
      <c r="Z60" s="5" t="s">
        <v>24</v>
      </c>
      <c r="AA60" s="5">
        <v>1</v>
      </c>
      <c r="AB60" s="5" t="s">
        <v>80</v>
      </c>
      <c r="AC60" s="5" t="s">
        <v>24</v>
      </c>
    </row>
    <row r="61" spans="1:29" ht="15.75">
      <c r="A61" s="11" t="s">
        <v>214</v>
      </c>
      <c r="B61" s="21" t="s">
        <v>215</v>
      </c>
      <c r="C61" s="21"/>
      <c r="D61" s="21"/>
      <c r="E61" s="22" t="s">
        <v>216</v>
      </c>
      <c r="F61" s="23"/>
      <c r="G61" s="23"/>
      <c r="H61" s="24"/>
      <c r="I61" s="25" t="s">
        <v>24</v>
      </c>
      <c r="J61" s="100"/>
      <c r="K61" s="26" t="s">
        <v>20</v>
      </c>
      <c r="L61" s="100"/>
      <c r="M61" s="100"/>
      <c r="N61" s="28" t="s">
        <v>129</v>
      </c>
      <c r="O61" s="29"/>
      <c r="P61" s="30">
        <v>21</v>
      </c>
      <c r="Q61" s="100"/>
      <c r="R61" s="30" t="s">
        <v>78</v>
      </c>
      <c r="S61" s="100"/>
      <c r="T61" s="31" t="s">
        <v>217</v>
      </c>
      <c r="U61" s="32"/>
      <c r="V61" s="19" t="b">
        <v>0</v>
      </c>
      <c r="W61" s="20"/>
      <c r="X61" s="19" t="b">
        <v>0</v>
      </c>
      <c r="Y61" s="20"/>
      <c r="Z61" s="5" t="s">
        <v>24</v>
      </c>
      <c r="AA61" s="5">
        <v>3</v>
      </c>
      <c r="AB61" s="5" t="s">
        <v>80</v>
      </c>
      <c r="AC61" s="5" t="s">
        <v>24</v>
      </c>
    </row>
    <row r="62" spans="1:29" ht="15.75" customHeight="1">
      <c r="A62" s="11" t="s">
        <v>218</v>
      </c>
      <c r="B62" s="21" t="s">
        <v>219</v>
      </c>
      <c r="C62" s="21"/>
      <c r="D62" s="21"/>
      <c r="E62" s="35" t="s">
        <v>220</v>
      </c>
      <c r="F62" s="23"/>
      <c r="G62" s="23"/>
      <c r="H62" s="24"/>
      <c r="I62" s="25" t="s">
        <v>110</v>
      </c>
      <c r="J62" s="100"/>
      <c r="K62" s="26" t="s">
        <v>20</v>
      </c>
      <c r="L62" s="100"/>
      <c r="M62" s="100"/>
      <c r="N62" s="28" t="s">
        <v>102</v>
      </c>
      <c r="O62" s="29"/>
      <c r="P62" s="30">
        <v>13</v>
      </c>
      <c r="Q62" s="100"/>
      <c r="R62" s="30" t="s">
        <v>78</v>
      </c>
      <c r="S62" s="100"/>
      <c r="T62" s="31" t="s">
        <v>191</v>
      </c>
      <c r="U62" s="32"/>
      <c r="V62" s="19" t="b">
        <v>0</v>
      </c>
      <c r="W62" s="20"/>
      <c r="X62" s="19" t="b">
        <v>0</v>
      </c>
      <c r="Y62" s="20"/>
      <c r="Z62" s="5" t="s">
        <v>24</v>
      </c>
      <c r="AA62" s="5">
        <v>1</v>
      </c>
      <c r="AB62" s="5" t="s">
        <v>80</v>
      </c>
      <c r="AC62" s="5" t="s">
        <v>24</v>
      </c>
    </row>
    <row r="63" spans="1:29" ht="15.75" customHeight="1">
      <c r="A63" s="11" t="s">
        <v>221</v>
      </c>
      <c r="B63" s="21" t="s">
        <v>222</v>
      </c>
      <c r="C63" s="21"/>
      <c r="D63" s="21"/>
      <c r="E63" s="22" t="s">
        <v>223</v>
      </c>
      <c r="F63" s="23"/>
      <c r="G63" s="23"/>
      <c r="H63" s="24"/>
      <c r="I63" s="25" t="s">
        <v>110</v>
      </c>
      <c r="J63" s="100"/>
      <c r="K63" s="26" t="s">
        <v>20</v>
      </c>
      <c r="L63" s="100"/>
      <c r="M63" s="100"/>
      <c r="N63" s="28" t="s">
        <v>77</v>
      </c>
      <c r="O63" s="29"/>
      <c r="P63" s="30">
        <v>8</v>
      </c>
      <c r="Q63" s="100"/>
      <c r="R63" s="30" t="s">
        <v>78</v>
      </c>
      <c r="S63" s="100"/>
      <c r="T63" s="31" t="s">
        <v>195</v>
      </c>
      <c r="U63" s="32"/>
      <c r="V63" s="19" t="b">
        <v>0</v>
      </c>
      <c r="W63" s="20"/>
      <c r="X63" s="19" t="b">
        <v>0</v>
      </c>
      <c r="Y63" s="20"/>
      <c r="Z63" s="5" t="s">
        <v>24</v>
      </c>
      <c r="AA63" s="5" t="s">
        <v>24</v>
      </c>
      <c r="AB63" s="5" t="s">
        <v>80</v>
      </c>
      <c r="AC63" s="5" t="s">
        <v>24</v>
      </c>
    </row>
    <row r="64" spans="1:29" ht="15.75" customHeight="1">
      <c r="A64" s="11" t="s">
        <v>224</v>
      </c>
      <c r="B64" s="21" t="s">
        <v>225</v>
      </c>
      <c r="C64" s="21"/>
      <c r="D64" s="21"/>
      <c r="E64" s="22" t="s">
        <v>226</v>
      </c>
      <c r="F64" s="23"/>
      <c r="G64" s="23"/>
      <c r="H64" s="24"/>
      <c r="I64" s="25" t="s">
        <v>110</v>
      </c>
      <c r="J64" s="100"/>
      <c r="K64" s="26" t="s">
        <v>20</v>
      </c>
      <c r="L64" s="100"/>
      <c r="M64" s="100"/>
      <c r="N64" s="28" t="s">
        <v>102</v>
      </c>
      <c r="O64" s="29"/>
      <c r="P64" s="30">
        <v>13</v>
      </c>
      <c r="Q64" s="100"/>
      <c r="R64" s="30" t="s">
        <v>78</v>
      </c>
      <c r="S64" s="100"/>
      <c r="T64" s="31" t="s">
        <v>191</v>
      </c>
      <c r="U64" s="32"/>
      <c r="V64" s="19" t="b">
        <v>1</v>
      </c>
      <c r="W64" s="20"/>
      <c r="X64" s="19" t="b">
        <v>1</v>
      </c>
      <c r="Y64" s="20"/>
      <c r="Z64" s="5" t="s">
        <v>24</v>
      </c>
      <c r="AA64" s="5">
        <v>1</v>
      </c>
      <c r="AB64" s="5" t="s">
        <v>80</v>
      </c>
      <c r="AC64" s="5" t="s">
        <v>24</v>
      </c>
    </row>
    <row r="65" spans="1:29" ht="15.75" customHeight="1">
      <c r="A65" s="11" t="s">
        <v>227</v>
      </c>
      <c r="B65" s="21" t="s">
        <v>228</v>
      </c>
      <c r="C65" s="21"/>
      <c r="D65" s="21"/>
      <c r="E65" s="22" t="s">
        <v>229</v>
      </c>
      <c r="F65" s="23"/>
      <c r="G65" s="23"/>
      <c r="H65" s="24"/>
      <c r="I65" s="25" t="s">
        <v>110</v>
      </c>
      <c r="J65" s="100"/>
      <c r="K65" s="26" t="s">
        <v>20</v>
      </c>
      <c r="L65" s="100"/>
      <c r="M65" s="100"/>
      <c r="N65" s="28" t="s">
        <v>102</v>
      </c>
      <c r="O65" s="29"/>
      <c r="P65" s="30">
        <v>13</v>
      </c>
      <c r="Q65" s="100"/>
      <c r="R65" s="30" t="s">
        <v>78</v>
      </c>
      <c r="S65" s="100"/>
      <c r="T65" s="31" t="s">
        <v>187</v>
      </c>
      <c r="U65" s="32"/>
      <c r="V65" s="19" t="b">
        <v>1</v>
      </c>
      <c r="W65" s="20"/>
      <c r="X65" s="19" t="b">
        <v>1</v>
      </c>
      <c r="Y65" s="20"/>
      <c r="Z65" s="5" t="s">
        <v>24</v>
      </c>
      <c r="AA65" s="5">
        <v>1</v>
      </c>
      <c r="AB65" s="5" t="s">
        <v>80</v>
      </c>
      <c r="AC65" s="5" t="s">
        <v>24</v>
      </c>
    </row>
    <row r="66" spans="1:29" ht="15.75" customHeight="1">
      <c r="A66" s="11" t="s">
        <v>230</v>
      </c>
      <c r="B66" s="21" t="s">
        <v>231</v>
      </c>
      <c r="C66" s="21"/>
      <c r="D66" s="21"/>
      <c r="E66" s="22" t="s">
        <v>232</v>
      </c>
      <c r="F66" s="23"/>
      <c r="G66" s="23"/>
      <c r="H66" s="24"/>
      <c r="I66" s="25" t="s">
        <v>110</v>
      </c>
      <c r="J66" s="100"/>
      <c r="K66" s="27" t="s">
        <v>73</v>
      </c>
      <c r="L66" s="100"/>
      <c r="M66" s="100"/>
      <c r="N66" s="28" t="s">
        <v>77</v>
      </c>
      <c r="O66" s="29"/>
      <c r="P66" s="30">
        <v>8</v>
      </c>
      <c r="Q66" s="100"/>
      <c r="R66" s="30" t="s">
        <v>78</v>
      </c>
      <c r="S66" s="100"/>
      <c r="T66" s="31" t="s">
        <v>217</v>
      </c>
      <c r="U66" s="32"/>
      <c r="V66" s="19" t="b">
        <v>1</v>
      </c>
      <c r="W66" s="20"/>
      <c r="X66" s="19" t="b">
        <v>1</v>
      </c>
      <c r="Y66" s="20"/>
      <c r="Z66" s="5" t="s">
        <v>24</v>
      </c>
      <c r="AA66" s="5">
        <v>4</v>
      </c>
      <c r="AB66" s="5" t="s">
        <v>80</v>
      </c>
      <c r="AC66" s="5" t="s">
        <v>24</v>
      </c>
    </row>
    <row r="67" spans="1:29" ht="15.75" customHeight="1"/>
    <row r="68" spans="1:29" ht="15.75" customHeight="1"/>
    <row r="69" spans="1:29" ht="15.75" customHeight="1"/>
    <row r="70" spans="1:29" ht="15.75" customHeight="1"/>
    <row r="71" spans="1:29" ht="15.75" customHeight="1"/>
    <row r="72" spans="1:29" ht="15.75" customHeight="1"/>
    <row r="73" spans="1:29" ht="15.75" customHeight="1"/>
    <row r="74" spans="1:29" ht="15.75" customHeight="1"/>
    <row r="75" spans="1:29" ht="15.75" customHeight="1"/>
    <row r="76" spans="1:29" ht="15.75" customHeight="1"/>
    <row r="77" spans="1:29" ht="15.75" customHeight="1"/>
    <row r="78" spans="1:29" ht="15.75" customHeight="1"/>
    <row r="79" spans="1:29" ht="15.75" customHeight="1"/>
    <row r="80" spans="1:2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A8:AC66" xr:uid="{00000000-0001-0000-0000-000000000000}">
    <filterColumn colId="1" showButton="0"/>
    <filterColumn colId="2" showButton="0"/>
    <filterColumn colId="4" showButton="0"/>
    <filterColumn colId="5" showButton="0"/>
    <filterColumn colId="6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</autoFilter>
  <mergeCells count="593">
    <mergeCell ref="B62:D62"/>
    <mergeCell ref="I62:J62"/>
    <mergeCell ref="E62:H62"/>
    <mergeCell ref="K62:M62"/>
    <mergeCell ref="P62:Q62"/>
    <mergeCell ref="N62:O62"/>
    <mergeCell ref="R62:S62"/>
    <mergeCell ref="T62:U62"/>
    <mergeCell ref="V62:W62"/>
    <mergeCell ref="X52:Y52"/>
    <mergeCell ref="X53:Y53"/>
    <mergeCell ref="X54:Y54"/>
    <mergeCell ref="X55:Y55"/>
    <mergeCell ref="R53:S53"/>
    <mergeCell ref="R54:S54"/>
    <mergeCell ref="R55:S55"/>
    <mergeCell ref="T51:U51"/>
    <mergeCell ref="T52:U52"/>
    <mergeCell ref="T53:U53"/>
    <mergeCell ref="T54:U54"/>
    <mergeCell ref="T55:U55"/>
    <mergeCell ref="V51:W51"/>
    <mergeCell ref="V52:W52"/>
    <mergeCell ref="V53:W53"/>
    <mergeCell ref="V54:W54"/>
    <mergeCell ref="V55:W55"/>
    <mergeCell ref="E1:AC7"/>
    <mergeCell ref="B51:D51"/>
    <mergeCell ref="B52:D52"/>
    <mergeCell ref="B53:D53"/>
    <mergeCell ref="B54:D54"/>
    <mergeCell ref="B55:D55"/>
    <mergeCell ref="K51:M51"/>
    <mergeCell ref="K52:M52"/>
    <mergeCell ref="K53:M53"/>
    <mergeCell ref="K54:M54"/>
    <mergeCell ref="K55:M55"/>
    <mergeCell ref="N51:O51"/>
    <mergeCell ref="N52:O52"/>
    <mergeCell ref="N53:O53"/>
    <mergeCell ref="N54:O54"/>
    <mergeCell ref="N55:O55"/>
    <mergeCell ref="P51:Q51"/>
    <mergeCell ref="P52:Q52"/>
    <mergeCell ref="P53:Q53"/>
    <mergeCell ref="P54:Q54"/>
    <mergeCell ref="P55:Q55"/>
    <mergeCell ref="R51:S51"/>
    <mergeCell ref="R52:S52"/>
    <mergeCell ref="X51:Y51"/>
    <mergeCell ref="AK22:AM22"/>
    <mergeCell ref="AK26:AL26"/>
    <mergeCell ref="R43:S43"/>
    <mergeCell ref="T43:U43"/>
    <mergeCell ref="V43:W43"/>
    <mergeCell ref="X43:Y43"/>
    <mergeCell ref="N50:O50"/>
    <mergeCell ref="X48:Y48"/>
    <mergeCell ref="V50:W50"/>
    <mergeCell ref="X49:Y49"/>
    <mergeCell ref="X50:Y50"/>
    <mergeCell ref="P50:Q50"/>
    <mergeCell ref="P49:Q49"/>
    <mergeCell ref="T49:U49"/>
    <mergeCell ref="T50:U50"/>
    <mergeCell ref="N48:O48"/>
    <mergeCell ref="N49:O49"/>
    <mergeCell ref="P46:Q46"/>
    <mergeCell ref="P47:Q47"/>
    <mergeCell ref="V38:W38"/>
    <mergeCell ref="V40:W40"/>
    <mergeCell ref="V39:W39"/>
    <mergeCell ref="V49:W49"/>
    <mergeCell ref="X46:Y46"/>
    <mergeCell ref="X47:Y47"/>
    <mergeCell ref="T46:U46"/>
    <mergeCell ref="T47:U47"/>
    <mergeCell ref="N46:O46"/>
    <mergeCell ref="N47:O47"/>
    <mergeCell ref="T48:U48"/>
    <mergeCell ref="P48:Q48"/>
    <mergeCell ref="V46:W46"/>
    <mergeCell ref="V47:W47"/>
    <mergeCell ref="V48:W48"/>
    <mergeCell ref="R46:S46"/>
    <mergeCell ref="R47:S47"/>
    <mergeCell ref="R48:S48"/>
    <mergeCell ref="R49:S49"/>
    <mergeCell ref="B48:D48"/>
    <mergeCell ref="B46:D46"/>
    <mergeCell ref="B47:D47"/>
    <mergeCell ref="B49:D49"/>
    <mergeCell ref="B50:D50"/>
    <mergeCell ref="I46:J46"/>
    <mergeCell ref="I47:J47"/>
    <mergeCell ref="I48:J48"/>
    <mergeCell ref="I49:J49"/>
    <mergeCell ref="R50:S50"/>
    <mergeCell ref="E46:H46"/>
    <mergeCell ref="E47:H47"/>
    <mergeCell ref="E48:H48"/>
    <mergeCell ref="E49:H49"/>
    <mergeCell ref="K50:M50"/>
    <mergeCell ref="K46:M46"/>
    <mergeCell ref="K47:M47"/>
    <mergeCell ref="K48:M48"/>
    <mergeCell ref="K49:M49"/>
    <mergeCell ref="I50:J50"/>
    <mergeCell ref="E50:H50"/>
    <mergeCell ref="X45:Y45"/>
    <mergeCell ref="V23:W23"/>
    <mergeCell ref="X23:Y23"/>
    <mergeCell ref="V24:W24"/>
    <mergeCell ref="X24:Y24"/>
    <mergeCell ref="V35:W35"/>
    <mergeCell ref="V36:W36"/>
    <mergeCell ref="V37:W37"/>
    <mergeCell ref="X34:Y34"/>
    <mergeCell ref="X35:Y35"/>
    <mergeCell ref="X36:Y36"/>
    <mergeCell ref="X44:Y44"/>
    <mergeCell ref="V44:W44"/>
    <mergeCell ref="V32:W32"/>
    <mergeCell ref="X32:Y32"/>
    <mergeCell ref="V29:W29"/>
    <mergeCell ref="X29:Y29"/>
    <mergeCell ref="V26:W26"/>
    <mergeCell ref="X26:Y26"/>
    <mergeCell ref="V25:W25"/>
    <mergeCell ref="X25:Y25"/>
    <mergeCell ref="X37:Y37"/>
    <mergeCell ref="V42:W42"/>
    <mergeCell ref="X41:Y41"/>
    <mergeCell ref="X42:Y42"/>
    <mergeCell ref="T38:U38"/>
    <mergeCell ref="T39:U39"/>
    <mergeCell ref="T40:U40"/>
    <mergeCell ref="R39:S39"/>
    <mergeCell ref="T41:U41"/>
    <mergeCell ref="I38:J38"/>
    <mergeCell ref="I39:J39"/>
    <mergeCell ref="K42:M42"/>
    <mergeCell ref="N42:O42"/>
    <mergeCell ref="R42:S42"/>
    <mergeCell ref="N41:O41"/>
    <mergeCell ref="P42:Q42"/>
    <mergeCell ref="P39:Q39"/>
    <mergeCell ref="R38:S38"/>
    <mergeCell ref="K38:M38"/>
    <mergeCell ref="R40:S40"/>
    <mergeCell ref="R41:S41"/>
    <mergeCell ref="T42:U42"/>
    <mergeCell ref="X39:Y39"/>
    <mergeCell ref="X40:Y40"/>
    <mergeCell ref="X38:Y38"/>
    <mergeCell ref="B45:D45"/>
    <mergeCell ref="E45:H45"/>
    <mergeCell ref="I45:J45"/>
    <mergeCell ref="K45:M45"/>
    <mergeCell ref="N45:O45"/>
    <mergeCell ref="P45:Q45"/>
    <mergeCell ref="R45:S45"/>
    <mergeCell ref="T45:U45"/>
    <mergeCell ref="V45:W45"/>
    <mergeCell ref="B23:D23"/>
    <mergeCell ref="B24:D24"/>
    <mergeCell ref="E24:H24"/>
    <mergeCell ref="E23:H23"/>
    <mergeCell ref="I23:J23"/>
    <mergeCell ref="I24:J24"/>
    <mergeCell ref="K23:M23"/>
    <mergeCell ref="K24:M24"/>
    <mergeCell ref="V8:W8"/>
    <mergeCell ref="B22:D22"/>
    <mergeCell ref="E22:H22"/>
    <mergeCell ref="I22:J22"/>
    <mergeCell ref="K22:M22"/>
    <mergeCell ref="N22:O22"/>
    <mergeCell ref="P22:Q22"/>
    <mergeCell ref="R22:S22"/>
    <mergeCell ref="T22:U22"/>
    <mergeCell ref="V22:W22"/>
    <mergeCell ref="T17:U17"/>
    <mergeCell ref="V17:W17"/>
    <mergeCell ref="T8:U8"/>
    <mergeCell ref="B8:D8"/>
    <mergeCell ref="B9:D9"/>
    <mergeCell ref="E9:H9"/>
    <mergeCell ref="B29:D29"/>
    <mergeCell ref="E29:H29"/>
    <mergeCell ref="B26:D26"/>
    <mergeCell ref="E26:H26"/>
    <mergeCell ref="B25:D25"/>
    <mergeCell ref="E25:H25"/>
    <mergeCell ref="B35:D35"/>
    <mergeCell ref="E35:H35"/>
    <mergeCell ref="B36:D36"/>
    <mergeCell ref="E36:H36"/>
    <mergeCell ref="B32:D32"/>
    <mergeCell ref="E32:H32"/>
    <mergeCell ref="B27:D27"/>
    <mergeCell ref="E27:H27"/>
    <mergeCell ref="B33:D33"/>
    <mergeCell ref="E33:H33"/>
    <mergeCell ref="I9:J9"/>
    <mergeCell ref="K9:M9"/>
    <mergeCell ref="N9:O9"/>
    <mergeCell ref="P9:Q9"/>
    <mergeCell ref="R13:S13"/>
    <mergeCell ref="T13:U13"/>
    <mergeCell ref="R14:S14"/>
    <mergeCell ref="T14:U14"/>
    <mergeCell ref="X22:Y22"/>
    <mergeCell ref="X16:Y16"/>
    <mergeCell ref="X15:Y15"/>
    <mergeCell ref="X10:Y10"/>
    <mergeCell ref="X9:Y9"/>
    <mergeCell ref="T10:U10"/>
    <mergeCell ref="T12:U12"/>
    <mergeCell ref="I20:J20"/>
    <mergeCell ref="I21:J21"/>
    <mergeCell ref="B15:D15"/>
    <mergeCell ref="E16:H16"/>
    <mergeCell ref="I16:J16"/>
    <mergeCell ref="K16:M16"/>
    <mergeCell ref="N16:O16"/>
    <mergeCell ref="P16:Q16"/>
    <mergeCell ref="R16:S16"/>
    <mergeCell ref="T16:U16"/>
    <mergeCell ref="V16:W16"/>
    <mergeCell ref="E15:H15"/>
    <mergeCell ref="V15:W15"/>
    <mergeCell ref="K15:M15"/>
    <mergeCell ref="N15:O15"/>
    <mergeCell ref="P15:Q15"/>
    <mergeCell ref="R15:S15"/>
    <mergeCell ref="T15:U15"/>
    <mergeCell ref="B16:D16"/>
    <mergeCell ref="I15:J15"/>
    <mergeCell ref="B18:D18"/>
    <mergeCell ref="E18:H18"/>
    <mergeCell ref="V18:W18"/>
    <mergeCell ref="X18:Y18"/>
    <mergeCell ref="B17:D17"/>
    <mergeCell ref="E17:H17"/>
    <mergeCell ref="K17:M17"/>
    <mergeCell ref="I17:J17"/>
    <mergeCell ref="P17:Q17"/>
    <mergeCell ref="R17:S17"/>
    <mergeCell ref="X17:Y17"/>
    <mergeCell ref="N17:O17"/>
    <mergeCell ref="K18:M18"/>
    <mergeCell ref="N18:O18"/>
    <mergeCell ref="P18:Q18"/>
    <mergeCell ref="R18:S18"/>
    <mergeCell ref="T18:U18"/>
    <mergeCell ref="I18:J18"/>
    <mergeCell ref="B11:D11"/>
    <mergeCell ref="E11:H11"/>
    <mergeCell ref="X8:Y8"/>
    <mergeCell ref="V9:W9"/>
    <mergeCell ref="V10:W10"/>
    <mergeCell ref="V11:W11"/>
    <mergeCell ref="X11:Y11"/>
    <mergeCell ref="B10:D10"/>
    <mergeCell ref="E10:H10"/>
    <mergeCell ref="I11:J11"/>
    <mergeCell ref="I10:J10"/>
    <mergeCell ref="K10:M10"/>
    <mergeCell ref="N10:O10"/>
    <mergeCell ref="P10:Q10"/>
    <mergeCell ref="K11:M11"/>
    <mergeCell ref="R10:S10"/>
    <mergeCell ref="N11:O11"/>
    <mergeCell ref="P11:Q11"/>
    <mergeCell ref="E8:H8"/>
    <mergeCell ref="I8:J8"/>
    <mergeCell ref="K8:M8"/>
    <mergeCell ref="N8:O8"/>
    <mergeCell ref="T11:U11"/>
    <mergeCell ref="T9:U9"/>
    <mergeCell ref="B12:D12"/>
    <mergeCell ref="E12:H12"/>
    <mergeCell ref="V12:W12"/>
    <mergeCell ref="X12:Y12"/>
    <mergeCell ref="B13:D13"/>
    <mergeCell ref="E13:H13"/>
    <mergeCell ref="V13:W13"/>
    <mergeCell ref="X13:Y13"/>
    <mergeCell ref="B14:D14"/>
    <mergeCell ref="E14:H14"/>
    <mergeCell ref="X14:Y14"/>
    <mergeCell ref="V14:W14"/>
    <mergeCell ref="I12:J12"/>
    <mergeCell ref="I13:J13"/>
    <mergeCell ref="I14:J14"/>
    <mergeCell ref="K13:M13"/>
    <mergeCell ref="K14:M14"/>
    <mergeCell ref="K12:M12"/>
    <mergeCell ref="N14:O14"/>
    <mergeCell ref="P14:Q14"/>
    <mergeCell ref="N12:O12"/>
    <mergeCell ref="P12:Q12"/>
    <mergeCell ref="N13:O13"/>
    <mergeCell ref="P13:Q13"/>
    <mergeCell ref="V33:W33"/>
    <mergeCell ref="X33:Y33"/>
    <mergeCell ref="B34:D34"/>
    <mergeCell ref="E34:H34"/>
    <mergeCell ref="V34:W34"/>
    <mergeCell ref="T33:U33"/>
    <mergeCell ref="P35:Q35"/>
    <mergeCell ref="K33:M33"/>
    <mergeCell ref="N33:O33"/>
    <mergeCell ref="P33:Q33"/>
    <mergeCell ref="R33:S33"/>
    <mergeCell ref="B39:D39"/>
    <mergeCell ref="E39:H39"/>
    <mergeCell ref="V41:W41"/>
    <mergeCell ref="I34:J34"/>
    <mergeCell ref="R34:S34"/>
    <mergeCell ref="K34:M34"/>
    <mergeCell ref="K37:M37"/>
    <mergeCell ref="N37:O37"/>
    <mergeCell ref="E38:H38"/>
    <mergeCell ref="R37:S37"/>
    <mergeCell ref="B38:D38"/>
    <mergeCell ref="B37:D37"/>
    <mergeCell ref="E37:H37"/>
    <mergeCell ref="K36:M36"/>
    <mergeCell ref="P40:Q40"/>
    <mergeCell ref="I36:J36"/>
    <mergeCell ref="P37:Q37"/>
    <mergeCell ref="N36:O36"/>
    <mergeCell ref="I37:J37"/>
    <mergeCell ref="T32:U32"/>
    <mergeCell ref="B30:D30"/>
    <mergeCell ref="E30:H30"/>
    <mergeCell ref="V30:W30"/>
    <mergeCell ref="X30:Y30"/>
    <mergeCell ref="B31:D31"/>
    <mergeCell ref="E31:H31"/>
    <mergeCell ref="V31:W31"/>
    <mergeCell ref="X31:Y31"/>
    <mergeCell ref="K31:M31"/>
    <mergeCell ref="N31:O31"/>
    <mergeCell ref="P31:Q31"/>
    <mergeCell ref="T30:U30"/>
    <mergeCell ref="T31:U31"/>
    <mergeCell ref="N32:O32"/>
    <mergeCell ref="P32:Q32"/>
    <mergeCell ref="K32:M32"/>
    <mergeCell ref="I32:J32"/>
    <mergeCell ref="R32:S32"/>
    <mergeCell ref="V27:W27"/>
    <mergeCell ref="X27:Y27"/>
    <mergeCell ref="B28:D28"/>
    <mergeCell ref="E28:H28"/>
    <mergeCell ref="V28:W28"/>
    <mergeCell ref="X28:Y28"/>
    <mergeCell ref="N28:O28"/>
    <mergeCell ref="R27:S27"/>
    <mergeCell ref="T27:U27"/>
    <mergeCell ref="T28:U28"/>
    <mergeCell ref="B19:D19"/>
    <mergeCell ref="E19:H19"/>
    <mergeCell ref="V19:W19"/>
    <mergeCell ref="X19:Y19"/>
    <mergeCell ref="B20:D20"/>
    <mergeCell ref="E20:H20"/>
    <mergeCell ref="V20:W20"/>
    <mergeCell ref="X20:Y20"/>
    <mergeCell ref="B21:D21"/>
    <mergeCell ref="E21:H21"/>
    <mergeCell ref="V21:W21"/>
    <mergeCell ref="X21:Y21"/>
    <mergeCell ref="K20:M20"/>
    <mergeCell ref="N20:O20"/>
    <mergeCell ref="P20:Q20"/>
    <mergeCell ref="K21:M21"/>
    <mergeCell ref="N19:O19"/>
    <mergeCell ref="P19:Q19"/>
    <mergeCell ref="K19:M19"/>
    <mergeCell ref="T20:U20"/>
    <mergeCell ref="T21:U21"/>
    <mergeCell ref="R21:S21"/>
    <mergeCell ref="T19:U19"/>
    <mergeCell ref="I19:J19"/>
    <mergeCell ref="T25:U25"/>
    <mergeCell ref="R26:S26"/>
    <mergeCell ref="T26:U26"/>
    <mergeCell ref="R29:S29"/>
    <mergeCell ref="R30:S30"/>
    <mergeCell ref="R28:S28"/>
    <mergeCell ref="T29:U29"/>
    <mergeCell ref="K44:M44"/>
    <mergeCell ref="N44:O44"/>
    <mergeCell ref="P44:Q44"/>
    <mergeCell ref="K39:M39"/>
    <mergeCell ref="N39:O39"/>
    <mergeCell ref="T44:U44"/>
    <mergeCell ref="R44:S44"/>
    <mergeCell ref="K40:M40"/>
    <mergeCell ref="R35:S35"/>
    <mergeCell ref="P36:Q36"/>
    <mergeCell ref="N43:O43"/>
    <mergeCell ref="P43:Q43"/>
    <mergeCell ref="N38:O38"/>
    <mergeCell ref="P38:Q38"/>
    <mergeCell ref="K43:M43"/>
    <mergeCell ref="K41:M41"/>
    <mergeCell ref="K26:M26"/>
    <mergeCell ref="I25:J25"/>
    <mergeCell ref="P25:Q25"/>
    <mergeCell ref="K25:M25"/>
    <mergeCell ref="P23:Q23"/>
    <mergeCell ref="P24:Q24"/>
    <mergeCell ref="N25:O25"/>
    <mergeCell ref="N23:O23"/>
    <mergeCell ref="N24:O24"/>
    <mergeCell ref="I35:J35"/>
    <mergeCell ref="P34:Q34"/>
    <mergeCell ref="N34:O34"/>
    <mergeCell ref="N26:O26"/>
    <mergeCell ref="P26:Q26"/>
    <mergeCell ref="T23:U23"/>
    <mergeCell ref="T24:U24"/>
    <mergeCell ref="T37:U37"/>
    <mergeCell ref="T34:U34"/>
    <mergeCell ref="T35:U35"/>
    <mergeCell ref="T36:U36"/>
    <mergeCell ref="R36:S36"/>
    <mergeCell ref="B44:D44"/>
    <mergeCell ref="E44:H44"/>
    <mergeCell ref="I44:J44"/>
    <mergeCell ref="B40:D40"/>
    <mergeCell ref="B41:D41"/>
    <mergeCell ref="B42:D42"/>
    <mergeCell ref="E40:H40"/>
    <mergeCell ref="E41:H41"/>
    <mergeCell ref="I40:J40"/>
    <mergeCell ref="E42:H42"/>
    <mergeCell ref="I41:J41"/>
    <mergeCell ref="I42:J42"/>
    <mergeCell ref="B43:D43"/>
    <mergeCell ref="E43:H43"/>
    <mergeCell ref="I43:J43"/>
    <mergeCell ref="P41:Q41"/>
    <mergeCell ref="N40:O40"/>
    <mergeCell ref="P8:Q8"/>
    <mergeCell ref="R8:S8"/>
    <mergeCell ref="R9:S9"/>
    <mergeCell ref="R19:S19"/>
    <mergeCell ref="R20:S20"/>
    <mergeCell ref="N21:O21"/>
    <mergeCell ref="P21:Q21"/>
    <mergeCell ref="R11:S11"/>
    <mergeCell ref="R12:S12"/>
    <mergeCell ref="R23:S23"/>
    <mergeCell ref="R24:S24"/>
    <mergeCell ref="K35:M35"/>
    <mergeCell ref="N35:O35"/>
    <mergeCell ref="R25:S25"/>
    <mergeCell ref="I26:J26"/>
    <mergeCell ref="I27:J27"/>
    <mergeCell ref="I28:J28"/>
    <mergeCell ref="K27:M27"/>
    <mergeCell ref="N27:O27"/>
    <mergeCell ref="P27:Q27"/>
    <mergeCell ref="K28:M28"/>
    <mergeCell ref="P28:Q28"/>
    <mergeCell ref="I29:J29"/>
    <mergeCell ref="I30:J30"/>
    <mergeCell ref="K29:M29"/>
    <mergeCell ref="K30:M30"/>
    <mergeCell ref="N30:O30"/>
    <mergeCell ref="P30:Q30"/>
    <mergeCell ref="N29:O29"/>
    <mergeCell ref="P29:Q29"/>
    <mergeCell ref="R31:S31"/>
    <mergeCell ref="I31:J31"/>
    <mergeCell ref="I33:J33"/>
    <mergeCell ref="B56:D56"/>
    <mergeCell ref="B57:D57"/>
    <mergeCell ref="B58:D58"/>
    <mergeCell ref="B59:D59"/>
    <mergeCell ref="B60:D60"/>
    <mergeCell ref="B61:D61"/>
    <mergeCell ref="E58:H58"/>
    <mergeCell ref="E60:H60"/>
    <mergeCell ref="E61:H61"/>
    <mergeCell ref="I60:J60"/>
    <mergeCell ref="I61:J61"/>
    <mergeCell ref="E51:H51"/>
    <mergeCell ref="E52:H52"/>
    <mergeCell ref="E53:H53"/>
    <mergeCell ref="E54:H54"/>
    <mergeCell ref="E55:H55"/>
    <mergeCell ref="E56:H56"/>
    <mergeCell ref="E57:H5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E59:H59"/>
    <mergeCell ref="K56:M56"/>
    <mergeCell ref="K57:M57"/>
    <mergeCell ref="K58:M58"/>
    <mergeCell ref="K59:M59"/>
    <mergeCell ref="K60:M60"/>
    <mergeCell ref="K61:M61"/>
    <mergeCell ref="N56:O56"/>
    <mergeCell ref="N57:O57"/>
    <mergeCell ref="N58:O58"/>
    <mergeCell ref="N59:O59"/>
    <mergeCell ref="N60:O60"/>
    <mergeCell ref="N61:O61"/>
    <mergeCell ref="P56:Q56"/>
    <mergeCell ref="P57:Q57"/>
    <mergeCell ref="P58:Q58"/>
    <mergeCell ref="P59:Q59"/>
    <mergeCell ref="P60:Q60"/>
    <mergeCell ref="P61:Q61"/>
    <mergeCell ref="R56:S56"/>
    <mergeCell ref="R57:S57"/>
    <mergeCell ref="R58:S58"/>
    <mergeCell ref="R59:S59"/>
    <mergeCell ref="R60:S60"/>
    <mergeCell ref="R61:S61"/>
    <mergeCell ref="V63:W63"/>
    <mergeCell ref="X56:Y56"/>
    <mergeCell ref="X57:Y57"/>
    <mergeCell ref="X58:Y58"/>
    <mergeCell ref="X59:Y59"/>
    <mergeCell ref="X60:Y60"/>
    <mergeCell ref="X61:Y61"/>
    <mergeCell ref="T56:U56"/>
    <mergeCell ref="T57:U57"/>
    <mergeCell ref="T58:U58"/>
    <mergeCell ref="T59:U59"/>
    <mergeCell ref="T60:U60"/>
    <mergeCell ref="T61:U61"/>
    <mergeCell ref="V56:W56"/>
    <mergeCell ref="V57:W57"/>
    <mergeCell ref="V58:W58"/>
    <mergeCell ref="V59:W59"/>
    <mergeCell ref="V60:W60"/>
    <mergeCell ref="V61:W61"/>
    <mergeCell ref="X62:Y62"/>
    <mergeCell ref="P66:Q66"/>
    <mergeCell ref="R64:S64"/>
    <mergeCell ref="R65:S65"/>
    <mergeCell ref="R66:S66"/>
    <mergeCell ref="T64:U64"/>
    <mergeCell ref="T65:U65"/>
    <mergeCell ref="B63:D63"/>
    <mergeCell ref="E63:H63"/>
    <mergeCell ref="I63:J63"/>
    <mergeCell ref="K63:M63"/>
    <mergeCell ref="N63:O63"/>
    <mergeCell ref="P63:Q63"/>
    <mergeCell ref="R63:S63"/>
    <mergeCell ref="T63:U63"/>
    <mergeCell ref="T66:U66"/>
    <mergeCell ref="V64:W64"/>
    <mergeCell ref="V65:W65"/>
    <mergeCell ref="V66:W66"/>
    <mergeCell ref="X65:Y65"/>
    <mergeCell ref="X66:Y66"/>
    <mergeCell ref="X64:Y64"/>
    <mergeCell ref="X63:Y63"/>
    <mergeCell ref="B64:D64"/>
    <mergeCell ref="B65:D65"/>
    <mergeCell ref="B66:D66"/>
    <mergeCell ref="E64:H64"/>
    <mergeCell ref="E65:H65"/>
    <mergeCell ref="E66:H66"/>
    <mergeCell ref="I66:J66"/>
    <mergeCell ref="I65:J65"/>
    <mergeCell ref="I64:J64"/>
    <mergeCell ref="K64:M64"/>
    <mergeCell ref="K65:M65"/>
    <mergeCell ref="K66:M66"/>
    <mergeCell ref="N64:O64"/>
    <mergeCell ref="N65:O65"/>
    <mergeCell ref="N66:O66"/>
    <mergeCell ref="P64:Q64"/>
    <mergeCell ref="P65:Q65"/>
  </mergeCells>
  <dataValidations count="3">
    <dataValidation type="list" allowBlank="1" showErrorMessage="1" sqref="N9:N66" xr:uid="{00000000-0002-0000-0000-000001000000}">
      <formula1>"PP,P,M,P ,M ,G,GG"</formula1>
    </dataValidation>
    <dataValidation type="list" allowBlank="1" showErrorMessage="1" sqref="K9:K66" xr:uid="{00000000-0002-0000-0000-000003000000}">
      <formula1>"ESSENCIAL,IMPORTANTE,DESEJÁVEL"</formula1>
    </dataValidation>
    <dataValidation type="list" allowBlank="1" showErrorMessage="1" sqref="R9:S66" xr:uid="{6EE455A0-B64C-4968-A93F-7D191F412DED}">
      <formula1>"SP1,SP2,SP3"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LETÍCIA COSTA NASCIMENTO .</cp:lastModifiedBy>
  <cp:revision/>
  <dcterms:created xsi:type="dcterms:W3CDTF">2026-02-26T00:24:19Z</dcterms:created>
  <dcterms:modified xsi:type="dcterms:W3CDTF">2026-04-13T23:20:47Z</dcterms:modified>
  <cp:category/>
  <cp:contentStatus/>
</cp:coreProperties>
</file>